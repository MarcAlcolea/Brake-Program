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2 Outboarded Braking Calculati" sheetId="1" r:id="rId5"/>
    <sheet state="visible" name="x1 Inboarded Braking Calculatio" sheetId="2" r:id="rId6"/>
    <sheet state="visible" name="Braking Calculations Rice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tc={0696bf70-f26d-44ba-b39b-aa3ea27dbe9f}</author>
    <author>tc={96817d56-29a4-4735-bc54-95b662f5afdf}</author>
    <author>tc={ddaee161-78ab-4d8c-b5c8-2025a3a299fd}</author>
  </authors>
  <commentList>
    <comment authorId="0" xr:uid="{0696bf70-f26d-44ba-b39b-aa3ea27dbe9f}" ref="C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1.23 square inches
</t>
      </text>
    </comment>
    <comment authorId="1" xr:uid="{96817d56-29a4-4735-bc54-95b662f5afdf}" ref="C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from FSAE Tire Test Consortium (TTC)
</t>
      </text>
    </comment>
    <comment authorId="2" xr:uid="{ddaee161-78ab-4d8c-b5c8-2025a3a299fd}" ref="C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from FSAE Tire Test Consortium (TTC)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tc={29837fba-964d-47ba-9ede-047f6f9790e1}</author>
    <author>tc={c00b7e6c-0dc9-4802-901a-4001344748d3}</author>
  </authors>
  <commentList>
    <comment authorId="0" xr:uid="{29837fba-964d-47ba-9ede-047f6f9790e1}" ref="C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check in first tab adding fixed vehicle parameters....
</t>
      </text>
    </comment>
    <comment authorId="1" xr:uid="{c00b7e6c-0dc9-4802-901a-4001344748d3}" ref="F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both, we're using just one rotor
</t>
      </text>
    </comment>
  </commentList>
</comments>
</file>

<file path=xl/sharedStrings.xml><?xml version="1.0" encoding="utf-8"?>
<sst xmlns="http://schemas.openxmlformats.org/spreadsheetml/2006/main" count="850" uniqueCount="230">
  <si>
    <t>Braking Calculations</t>
  </si>
  <si>
    <t>INPUT VARIABLE</t>
  </si>
  <si>
    <t>OUTPUT VARIABLE</t>
  </si>
  <si>
    <t>CHECK, UNFINISHED</t>
  </si>
  <si>
    <t>CONSTANTS</t>
  </si>
  <si>
    <t>Variable</t>
  </si>
  <si>
    <t>Symbol</t>
  </si>
  <si>
    <t>Value</t>
  </si>
  <si>
    <t>Unit</t>
  </si>
  <si>
    <t>Formula</t>
  </si>
  <si>
    <t>Notes</t>
  </si>
  <si>
    <t>Assumptions</t>
  </si>
  <si>
    <t>Acceleration due to gravity</t>
  </si>
  <si>
    <t>g</t>
  </si>
  <si>
    <t>m/s^2</t>
  </si>
  <si>
    <t>-</t>
  </si>
  <si>
    <t>PHASE 1: Vehicle Dynamics and Load Transfer</t>
  </si>
  <si>
    <t>Total Vehicle Mass</t>
  </si>
  <si>
    <t>M</t>
  </si>
  <si>
    <t>kg</t>
  </si>
  <si>
    <t>Car and driver fully equipped</t>
  </si>
  <si>
    <t>Height of Center of Gravity</t>
  </si>
  <si>
    <t>h(cg)</t>
  </si>
  <si>
    <t>m</t>
  </si>
  <si>
    <t>Center of gravity height</t>
  </si>
  <si>
    <r>
      <rPr/>
      <t xml:space="preserve">Values taken from </t>
    </r>
    <r>
      <rPr>
        <color rgb="FF1155CC"/>
        <u/>
      </rPr>
      <t>https://docs.google.com/document/d/1xtT0uKtX6zTf3e1bnGfSxppAlfkuWqXwDyTRrLOHx28/edit?tab=t.0#heading=h.q1x5qcbvplu6</t>
    </r>
  </si>
  <si>
    <t>Wheel Base</t>
  </si>
  <si>
    <t>L</t>
  </si>
  <si>
    <t>Distance between axles</t>
  </si>
  <si>
    <t>Target Deceleration</t>
  </si>
  <si>
    <t>a</t>
  </si>
  <si>
    <t>g's</t>
  </si>
  <si>
    <t>e.g. 1.5 (dimensionless ratio relative to gravity)</t>
  </si>
  <si>
    <t>Total Vehicle Weight</t>
  </si>
  <si>
    <t>W</t>
  </si>
  <si>
    <t>N</t>
  </si>
  <si>
    <t>Dynamic Weight Transfer</t>
  </si>
  <si>
    <t>Delta W</t>
  </si>
  <si>
    <t>Horizontal distance from front axle to CG</t>
  </si>
  <si>
    <t>b</t>
  </si>
  <si>
    <t>considering weight distrubition reccomended by Woods, doc 2. Vehicle Parameters (suspension subteam)</t>
  </si>
  <si>
    <t>Horizontal distance from rear axle to CG</t>
  </si>
  <si>
    <t>c</t>
  </si>
  <si>
    <t>Static Front Axle Load</t>
  </si>
  <si>
    <t>Static Rear Axle Load</t>
  </si>
  <si>
    <t xml:space="preserve">Dynamic Front Axle Load During Braking </t>
  </si>
  <si>
    <t>W(f,dyn)</t>
  </si>
  <si>
    <t>Dynamic Rear Axle Load During Braking</t>
  </si>
  <si>
    <t>W(r,dyn)</t>
  </si>
  <si>
    <t>Phase 2: Tire and Torque Requirements</t>
  </si>
  <si>
    <t>Number of front calipers/rotors)</t>
  </si>
  <si>
    <t>N(f)</t>
  </si>
  <si>
    <t>We have two outboarded calipers on the front</t>
  </si>
  <si>
    <t>Number of rear calipers/rotors)</t>
  </si>
  <si>
    <t>N(r)</t>
  </si>
  <si>
    <t>We are considering ONE inboarded caliper on the rear</t>
  </si>
  <si>
    <t>Tire Friction Coeff.</t>
  </si>
  <si>
    <t>mu(tire)</t>
  </si>
  <si>
    <t>Tire Radius (Loaded)</t>
  </si>
  <si>
    <t>R(tire)</t>
  </si>
  <si>
    <t>assumed to be 2% less than the nominal radius</t>
  </si>
  <si>
    <t>Max Friction Force (Front)</t>
  </si>
  <si>
    <t>F(f,tire)</t>
  </si>
  <si>
    <t>Max friction force for ONE front wheel</t>
  </si>
  <si>
    <t>Required Torque (Front)</t>
  </si>
  <si>
    <t>T(f,req)</t>
  </si>
  <si>
    <t>N x m</t>
  </si>
  <si>
    <t>Required torque for each front caliper to produce for wheel</t>
  </si>
  <si>
    <t>Max Friction Force (Rear)</t>
  </si>
  <si>
    <t>F(r,tire)</t>
  </si>
  <si>
    <t>Same as above but for rear</t>
  </si>
  <si>
    <t>Max friction force for ONE rear wheel</t>
  </si>
  <si>
    <t>Required Torque (Rear)</t>
  </si>
  <si>
    <t>T(r,req)</t>
  </si>
  <si>
    <t>Required torque for each rear caliper to produce for wheel</t>
  </si>
  <si>
    <t>Phase 3: Caliper and Rotor Sizing</t>
  </si>
  <si>
    <t>Effective Rotor Radius</t>
  </si>
  <si>
    <t>R(eff)</t>
  </si>
  <si>
    <t>Distance from hub center to pad center</t>
  </si>
  <si>
    <t>0.177 m rotor diameter</t>
  </si>
  <si>
    <t>LUCAS NUMBERS FOR BRAKE CALCS</t>
  </si>
  <si>
    <t>Pad Friction Coeff.</t>
  </si>
  <si>
    <t>mu(pad)</t>
  </si>
  <si>
    <t>This is the pad friction coefficient for ONE pad, not both.</t>
  </si>
  <si>
    <t>https://www.wilwood.com/BrakePads/BrakePadsProd?itemno=150-28-4908K</t>
  </si>
  <si>
    <t>conservative average over the expected operating temperature range, using availabe BP 28 pads for GP200A calipers</t>
  </si>
  <si>
    <t>5/8" Bore Radius</t>
  </si>
  <si>
    <t>Caliper Piston Area</t>
  </si>
  <si>
    <t>A(cal)</t>
  </si>
  <si>
    <t>mm^2</t>
  </si>
  <si>
    <t>Total piston area on ONE SIDE of the caliper</t>
  </si>
  <si>
    <t>https://www.wilwood.com/Calipers/CaliperProd?itemno=120-17702%20%20%20%20%20%20&amp;appid=0</t>
  </si>
  <si>
    <t>3/4" Bore Radius</t>
  </si>
  <si>
    <t>Required Clamp Force (Front)</t>
  </si>
  <si>
    <t>F(f,clamp)</t>
  </si>
  <si>
    <t>This uses the pad friction coefficient of ONE pad, multiplied by two for both pads. Required clamp force for each front caliper.</t>
  </si>
  <si>
    <t>Required Line Pressure (Front)</t>
  </si>
  <si>
    <t>P(f,line)</t>
  </si>
  <si>
    <t>MPa</t>
  </si>
  <si>
    <t>Important: components in hydraulic circuit have maximum rated pressure that must not be exceeded</t>
  </si>
  <si>
    <t>Required Clamp Force (Rear)</t>
  </si>
  <si>
    <t>F(r,clamp)</t>
  </si>
  <si>
    <t>Required clamp force for each rear caliper.</t>
  </si>
  <si>
    <t>Required Line Pressure (Rear)</t>
  </si>
  <si>
    <t>P(r,line)</t>
  </si>
  <si>
    <t>Phase 4: Master Cylinder and Pedal Box</t>
  </si>
  <si>
    <t>Master Cylinder Bore Diam (Front) INCHES</t>
  </si>
  <si>
    <t>0.625</t>
  </si>
  <si>
    <t>in</t>
  </si>
  <si>
    <t>7/10 inches</t>
  </si>
  <si>
    <t>Master Cylinder Bore Diam (Rear) INCHES</t>
  </si>
  <si>
    <t>5/8 inches</t>
  </si>
  <si>
    <t>Master Cylinder Bore Diam (Front) MM</t>
  </si>
  <si>
    <t>mm</t>
  </si>
  <si>
    <t>Master Cylinder Bore Diam (Rear) MM</t>
  </si>
  <si>
    <t>Master Cylinder Area (Front)</t>
  </si>
  <si>
    <t>A(f,mc)</t>
  </si>
  <si>
    <t>Area of the cylinder bore (pi * r^2). Difference in MC area between front and rear MC cylinders can be used to perform brake bias</t>
  </si>
  <si>
    <t>https://tiltonracing.com/product/78-series-master-cylinders/</t>
  </si>
  <si>
    <t>Master Cylinder Area (Rear)</t>
  </si>
  <si>
    <t>A(r,mc)</t>
  </si>
  <si>
    <t xml:space="preserve">Pedal Ratio </t>
  </si>
  <si>
    <t>PR</t>
  </si>
  <si>
    <t>Enter as multiplier (eg. 4 if 4:1)</t>
  </si>
  <si>
    <t>Mechanical leverage (like 4:1)</t>
  </si>
  <si>
    <t>Balance Bar Bias Front</t>
  </si>
  <si>
    <t>B(f)</t>
  </si>
  <si>
    <t>Enter as decimal</t>
  </si>
  <si>
    <t>% of force directed to Front MC, it has a maximum of 65:35</t>
  </si>
  <si>
    <t>Balance Bar Bias Rear</t>
  </si>
  <si>
    <t>B(r)</t>
  </si>
  <si>
    <t>% of force directed to Rear MC</t>
  </si>
  <si>
    <t>Driver Pedal Force</t>
  </si>
  <si>
    <t>F(driver)</t>
  </si>
  <si>
    <t>Force exerted by the driver</t>
  </si>
  <si>
    <t>Master Cylinder Force Required (Front)</t>
  </si>
  <si>
    <t>F(f,mc)</t>
  </si>
  <si>
    <t>Force needed at front master cylinder to meet pressure requirements.</t>
  </si>
  <si>
    <t>Master Cylinder Force Required (Rear)</t>
  </si>
  <si>
    <t>F(r,mc)</t>
  </si>
  <si>
    <t>Force needed at rear master cylinder to meet pressure requirements.</t>
  </si>
  <si>
    <t>Force required into Balance Bar (Front)</t>
  </si>
  <si>
    <t>F(f,bar)</t>
  </si>
  <si>
    <t>Force needed from the pedal into the balance bar to meet Front braking requirements (before balance bar distribution)</t>
  </si>
  <si>
    <t>Force required into Balance Bar (Rear)</t>
  </si>
  <si>
    <t>F(r,bar)</t>
  </si>
  <si>
    <t>Force needed from the pedal into the balance bar to meet rear braking requirements (before balance bar distribution)</t>
  </si>
  <si>
    <t>Force produced from pedal</t>
  </si>
  <si>
    <t>F(pedal)</t>
  </si>
  <si>
    <t>F(pedal) = F(driver)*PR</t>
  </si>
  <si>
    <t>Amount of force going into the balance bar</t>
  </si>
  <si>
    <t>Are front braking requirements met?</t>
  </si>
  <si>
    <t>Is F(pedal) &gt; F(f,bar)?</t>
  </si>
  <si>
    <t>Is the force from the pedal greater than the force required to go into the balance bar (for the front tires)?</t>
  </si>
  <si>
    <t>Are rear braking requirements met?</t>
  </si>
  <si>
    <t>Is F(pedal) &gt; F(r,bar)?</t>
  </si>
  <si>
    <t>Is the force from the pedal greater than the force required to go into the balance bar (for the rear tires)?</t>
  </si>
  <si>
    <t>Pedal Travel</t>
  </si>
  <si>
    <t>Number of front calipers (FROM ABOVE)</t>
  </si>
  <si>
    <t>Number of rear calipers (FROM ABOVE)</t>
  </si>
  <si>
    <t>We have only one caliper on the rear</t>
  </si>
  <si>
    <t>Number of pistons per caliper</t>
  </si>
  <si>
    <t>N(pc)</t>
  </si>
  <si>
    <t>Wilwood calipers have two pistons per caliper</t>
  </si>
  <si>
    <t>Area of one caliper piston</t>
  </si>
  <si>
    <t>A(pc)</t>
  </si>
  <si>
    <t>From Wilwood calipers specifications</t>
  </si>
  <si>
    <t>Piston travel</t>
  </si>
  <si>
    <t>Trav(piston)</t>
  </si>
  <si>
    <t>ASSUMED</t>
  </si>
  <si>
    <t>Total area of caliper pistons FRONT</t>
  </si>
  <si>
    <t>A(f,c)</t>
  </si>
  <si>
    <t>Total area of caliper pistons REAR</t>
  </si>
  <si>
    <t>A(r,c)</t>
  </si>
  <si>
    <t>Volume Required FRONT</t>
  </si>
  <si>
    <t>V(f)</t>
  </si>
  <si>
    <t>mm^3</t>
  </si>
  <si>
    <t>Volume Required REAR</t>
  </si>
  <si>
    <t>V(r)</t>
  </si>
  <si>
    <t>Maximum Master Cylinder Stroke</t>
  </si>
  <si>
    <t>(1.1 inches), from Tilton 76 and 78 series, NOT USED IN CALCULATIONS</t>
  </si>
  <si>
    <t>Theoretical Master Cylinder Stroke FRONT</t>
  </si>
  <si>
    <t>St(f,mc)</t>
  </si>
  <si>
    <t>Volume required/MC area</t>
  </si>
  <si>
    <t>Consider making FRONT bore greater than rear bore to balance/equalize stroke</t>
  </si>
  <si>
    <t>Theoretical Master Cylinder Stroke REAR</t>
  </si>
  <si>
    <t>St(r,mc)</t>
  </si>
  <si>
    <t>Consider making REAR bore smaller than front bore, to balance/equalize stroke</t>
  </si>
  <si>
    <t>Theoretical Effective Stroke</t>
  </si>
  <si>
    <t>St(Teff)</t>
  </si>
  <si>
    <t>Compliance Factor</t>
  </si>
  <si>
    <t>Standard number added to MC stroke to account for brake line stretch, brake pad compression, caliper spread, pedal box deflection, etc...</t>
  </si>
  <si>
    <t>Effective Stroke with Compliance</t>
  </si>
  <si>
    <t>St(Ceff)</t>
  </si>
  <si>
    <t>Theoretical MC stroke + compliance factor</t>
  </si>
  <si>
    <t>Trav(pedal)</t>
  </si>
  <si>
    <t>Pedal ratio * MC Stroke(Ceff)</t>
  </si>
  <si>
    <t>Pedal travel between 30 and 60 mm is desirable</t>
  </si>
  <si>
    <t>BOTS Trigger Point</t>
  </si>
  <si>
    <t>Eff Stroke + comp. + 3-3.5 mm</t>
  </si>
  <si>
    <t>Target value at which BOTS should trigger (also a hardstop)</t>
  </si>
  <si>
    <t>Other formulas to consider:</t>
  </si>
  <si>
    <t>Thermal calculations for brakes?</t>
  </si>
  <si>
    <t>First year approach for finding inputs</t>
  </si>
  <si>
    <t>Use literature values and approximations at first and then iterate</t>
  </si>
  <si>
    <t>Future years approach</t>
  </si>
  <si>
    <t>Develop optimization python scripts using frameworks (CasADi, OpenMDAO...)</t>
  </si>
  <si>
    <r>
      <rPr/>
      <t xml:space="preserve">Values taken from </t>
    </r>
    <r>
      <rPr>
        <color rgb="FF1155CC"/>
        <u/>
      </rPr>
      <t>https://docs.google.com/document/d/1xtT0uKtX6zTf3e1bnGfSxppAlfkuWqXwDyTRrLOHx28/edit?tab=t.0#heading=h.q1x5qcbvplu6</t>
    </r>
  </si>
  <si>
    <t>0.7</t>
  </si>
  <si>
    <t>(1.1 inches), from Tilton 76 and 78 series</t>
  </si>
  <si>
    <t>Master Cylinder Stroke FRONT</t>
  </si>
  <si>
    <t>Master Cylinder Stroke REAR</t>
  </si>
  <si>
    <t>Effective Stroke</t>
  </si>
  <si>
    <t>St(eff)</t>
  </si>
  <si>
    <t>Pedal ratio * MC Stroke(eff)</t>
  </si>
  <si>
    <t>Pedal travel between 50 and 75 mm is desirable</t>
  </si>
  <si>
    <t>Braking Calculations - RICE INPUTS</t>
  </si>
  <si>
    <t>Distance of center of gravity to front axle</t>
  </si>
  <si>
    <t>Distance of center of gravity to rear axle</t>
  </si>
  <si>
    <t>Dynamic Front Axle Load</t>
  </si>
  <si>
    <t>Dynamic Rear Axle Load</t>
  </si>
  <si>
    <t>Required torque for ONE front wheel</t>
  </si>
  <si>
    <t>Required torque for ONE rear wheel</t>
  </si>
  <si>
    <t>This uses the pad friction coefficient of ONE pad, multiplied by two for both pads</t>
  </si>
  <si>
    <t>IMPORTANT: HAVE TO CHANGE THIS CALCULATION IF WE ARE DIVIDING BY TWO DEPENDING ON HOW MANY ROTORS WE HAVE IN THE REAR</t>
  </si>
  <si>
    <t>% of force directed to Front MC</t>
  </si>
  <si>
    <t>Force required from the pedal into the balance bar in order to meet Front braking requirements (before balance bar distribution)</t>
  </si>
  <si>
    <t>Force required from the pedal into the balance bar in order to meet Rear braking requirements (before balance bar distribution)</t>
  </si>
  <si>
    <t>Pedal travel? Determine fluid displacement and required volume:</t>
  </si>
  <si>
    <t>Travel of MC should be well under 100% of its maximum available stroke (around 60%?)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</si>
</sst>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"/>
  </numFmts>
  <fonts count="11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sz val="8.0"/>
      <color theme="1"/>
      <name val="Arial"/>
      <scheme val="minor"/>
    </font>
    <font>
      <u/>
      <color rgb="FF0000FF"/>
    </font>
    <font>
      <color theme="1"/>
      <name val="Arial"/>
    </font>
    <font>
      <u/>
      <color rgb="FF0000FF"/>
    </font>
    <font>
      <i/>
      <sz val="8.0"/>
      <color theme="1"/>
      <name val="Arial"/>
      <scheme val="minor"/>
    </font>
    <font>
      <sz val="10.0"/>
      <color rgb="FF1F1F1F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FFEB93"/>
        <bgColor rgb="FFFFEB93"/>
      </patternFill>
    </fill>
    <fill>
      <patternFill patternType="solid">
        <fgColor rgb="FF98DDFF"/>
        <bgColor rgb="FF98DDFF"/>
      </patternFill>
    </fill>
    <fill>
      <patternFill patternType="solid">
        <fgColor rgb="FFFF9999"/>
        <bgColor rgb="FFFF999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top" wrapText="1"/>
    </xf>
    <xf borderId="0" fillId="3" fontId="2" numFmtId="0" xfId="0" applyFont="1"/>
    <xf borderId="0" fillId="0" fontId="2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2" fontId="7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0" fillId="2" fontId="2" numFmtId="49" xfId="0" applyAlignment="1" applyFont="1" applyNumberFormat="1">
      <alignment horizontal="right" readingOrder="0"/>
    </xf>
    <xf borderId="0" fillId="0" fontId="7" numFmtId="0" xfId="0" applyAlignment="1" applyFont="1">
      <alignment readingOrder="0" vertical="bottom"/>
    </xf>
    <xf borderId="0" fillId="2" fontId="2" numFmtId="4" xfId="0" applyAlignment="1" applyFont="1" applyNumberFormat="1">
      <alignment horizontal="right" readingOrder="0"/>
    </xf>
    <xf borderId="0" fillId="2" fontId="2" numFmtId="0" xfId="0" applyAlignment="1" applyFont="1">
      <alignment horizontal="right"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2" fontId="2" numFmtId="0" xfId="0" applyFont="1"/>
    <xf borderId="0" fillId="4" fontId="2" numFmtId="0" xfId="0" applyFont="1"/>
    <xf borderId="0" fillId="5" fontId="10" numFmtId="0" xfId="0" applyAlignment="1" applyFill="1" applyFont="1">
      <alignment readingOrder="0"/>
    </xf>
    <xf borderId="0" fillId="3" fontId="2" numFmtId="164" xfId="0" applyAlignment="1" applyFont="1" applyNumberFormat="1">
      <alignment readingOrder="0"/>
    </xf>
    <xf borderId="0" fillId="3" fontId="2" numFmtId="165" xfId="0" applyAlignment="1" applyFont="1" applyNumberFormat="1">
      <alignment readingOrder="0"/>
    </xf>
    <xf borderId="0" fillId="6" fontId="2" numFmtId="0" xfId="0" applyAlignment="1" applyFill="1" applyFont="1">
      <alignment readingOrder="0"/>
    </xf>
    <xf borderId="0" fillId="6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Relationship Id="rId3" Type="http://schemas.openxmlformats.org/officeDocument/2006/relationships/image" Target="../media/image10.png"/><Relationship Id="rId4" Type="http://schemas.openxmlformats.org/officeDocument/2006/relationships/image" Target="../media/image1.png"/><Relationship Id="rId11" Type="http://schemas.openxmlformats.org/officeDocument/2006/relationships/image" Target="../media/image6.png"/><Relationship Id="rId10" Type="http://schemas.openxmlformats.org/officeDocument/2006/relationships/image" Target="../media/image5.png"/><Relationship Id="rId12" Type="http://schemas.openxmlformats.org/officeDocument/2006/relationships/image" Target="../media/image11.png"/><Relationship Id="rId9" Type="http://schemas.openxmlformats.org/officeDocument/2006/relationships/image" Target="../media/image3.png"/><Relationship Id="rId5" Type="http://schemas.openxmlformats.org/officeDocument/2006/relationships/image" Target="../media/image8.png"/><Relationship Id="rId6" Type="http://schemas.openxmlformats.org/officeDocument/2006/relationships/image" Target="../media/image12.png"/><Relationship Id="rId7" Type="http://schemas.openxmlformats.org/officeDocument/2006/relationships/image" Target="../media/image7.png"/><Relationship Id="rId8" Type="http://schemas.openxmlformats.org/officeDocument/2006/relationships/image" Target="../media/image9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Relationship Id="rId3" Type="http://schemas.openxmlformats.org/officeDocument/2006/relationships/image" Target="../media/image10.png"/><Relationship Id="rId4" Type="http://schemas.openxmlformats.org/officeDocument/2006/relationships/image" Target="../media/image1.png"/><Relationship Id="rId11" Type="http://schemas.openxmlformats.org/officeDocument/2006/relationships/image" Target="../media/image6.png"/><Relationship Id="rId10" Type="http://schemas.openxmlformats.org/officeDocument/2006/relationships/image" Target="../media/image5.png"/><Relationship Id="rId12" Type="http://schemas.openxmlformats.org/officeDocument/2006/relationships/image" Target="../media/image11.png"/><Relationship Id="rId9" Type="http://schemas.openxmlformats.org/officeDocument/2006/relationships/image" Target="../media/image3.png"/><Relationship Id="rId5" Type="http://schemas.openxmlformats.org/officeDocument/2006/relationships/image" Target="../media/image8.png"/><Relationship Id="rId6" Type="http://schemas.openxmlformats.org/officeDocument/2006/relationships/image" Target="../media/image12.png"/><Relationship Id="rId7" Type="http://schemas.openxmlformats.org/officeDocument/2006/relationships/image" Target="../media/image7.png"/><Relationship Id="rId8" Type="http://schemas.openxmlformats.org/officeDocument/2006/relationships/image" Target="../media/image9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Relationship Id="rId3" Type="http://schemas.openxmlformats.org/officeDocument/2006/relationships/image" Target="../media/image8.png"/><Relationship Id="rId4" Type="http://schemas.openxmlformats.org/officeDocument/2006/relationships/image" Target="../media/image12.png"/><Relationship Id="rId10" Type="http://schemas.openxmlformats.org/officeDocument/2006/relationships/image" Target="../media/image11.png"/><Relationship Id="rId9" Type="http://schemas.openxmlformats.org/officeDocument/2006/relationships/image" Target="../media/image6.png"/><Relationship Id="rId5" Type="http://schemas.openxmlformats.org/officeDocument/2006/relationships/image" Target="../media/image7.png"/><Relationship Id="rId6" Type="http://schemas.openxmlformats.org/officeDocument/2006/relationships/image" Target="../media/image9.png"/><Relationship Id="rId7" Type="http://schemas.openxmlformats.org/officeDocument/2006/relationships/image" Target="../media/image3.png"/><Relationship Id="rId8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16</xdr:row>
      <xdr:rowOff>0</xdr:rowOff>
    </xdr:from>
    <xdr:ext cx="657225" cy="2190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17</xdr:row>
      <xdr:rowOff>0</xdr:rowOff>
    </xdr:from>
    <xdr:ext cx="571500" cy="219075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20</xdr:row>
      <xdr:rowOff>0</xdr:rowOff>
    </xdr:from>
    <xdr:ext cx="571500" cy="219075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21</xdr:row>
      <xdr:rowOff>0</xdr:rowOff>
    </xdr:from>
    <xdr:ext cx="561975" cy="21907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22</xdr:row>
      <xdr:rowOff>0</xdr:rowOff>
    </xdr:from>
    <xdr:ext cx="942975" cy="219075"/>
    <xdr:pic>
      <xdr:nvPicPr>
        <xdr:cNvPr id="0" name="image8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23</xdr:row>
      <xdr:rowOff>0</xdr:rowOff>
    </xdr:from>
    <xdr:ext cx="1085850" cy="219075"/>
    <xdr:pic>
      <xdr:nvPicPr>
        <xdr:cNvPr id="0" name="image12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31</xdr:row>
      <xdr:rowOff>0</xdr:rowOff>
    </xdr:from>
    <xdr:ext cx="771525" cy="219075"/>
    <xdr:pic>
      <xdr:nvPicPr>
        <xdr:cNvPr id="0" name="image7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32</xdr:row>
      <xdr:rowOff>0</xdr:rowOff>
    </xdr:from>
    <xdr:ext cx="914400" cy="219075"/>
    <xdr:pic>
      <xdr:nvPicPr>
        <xdr:cNvPr id="0" name="image9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41</xdr:row>
      <xdr:rowOff>0</xdr:rowOff>
    </xdr:from>
    <xdr:ext cx="1123950" cy="361950"/>
    <xdr:pic>
      <xdr:nvPicPr>
        <xdr:cNvPr id="0" name="image3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42</xdr:row>
      <xdr:rowOff>0</xdr:rowOff>
    </xdr:from>
    <xdr:ext cx="847725" cy="390525"/>
    <xdr:pic>
      <xdr:nvPicPr>
        <xdr:cNvPr id="0" name="image5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58</xdr:row>
      <xdr:rowOff>0</xdr:rowOff>
    </xdr:from>
    <xdr:ext cx="1285875" cy="304800"/>
    <xdr:pic>
      <xdr:nvPicPr>
        <xdr:cNvPr id="0" name="image6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60</xdr:row>
      <xdr:rowOff>0</xdr:rowOff>
    </xdr:from>
    <xdr:ext cx="800100" cy="371475"/>
    <xdr:pic>
      <xdr:nvPicPr>
        <xdr:cNvPr id="0" name="image11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16</xdr:row>
      <xdr:rowOff>0</xdr:rowOff>
    </xdr:from>
    <xdr:ext cx="657225" cy="2190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17</xdr:row>
      <xdr:rowOff>0</xdr:rowOff>
    </xdr:from>
    <xdr:ext cx="571500" cy="219075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20</xdr:row>
      <xdr:rowOff>0</xdr:rowOff>
    </xdr:from>
    <xdr:ext cx="571500" cy="219075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21</xdr:row>
      <xdr:rowOff>0</xdr:rowOff>
    </xdr:from>
    <xdr:ext cx="561975" cy="21907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22</xdr:row>
      <xdr:rowOff>0</xdr:rowOff>
    </xdr:from>
    <xdr:ext cx="942975" cy="219075"/>
    <xdr:pic>
      <xdr:nvPicPr>
        <xdr:cNvPr id="0" name="image8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23</xdr:row>
      <xdr:rowOff>0</xdr:rowOff>
    </xdr:from>
    <xdr:ext cx="1085850" cy="219075"/>
    <xdr:pic>
      <xdr:nvPicPr>
        <xdr:cNvPr id="0" name="image12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31</xdr:row>
      <xdr:rowOff>0</xdr:rowOff>
    </xdr:from>
    <xdr:ext cx="771525" cy="219075"/>
    <xdr:pic>
      <xdr:nvPicPr>
        <xdr:cNvPr id="0" name="image7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32</xdr:row>
      <xdr:rowOff>0</xdr:rowOff>
    </xdr:from>
    <xdr:ext cx="914400" cy="219075"/>
    <xdr:pic>
      <xdr:nvPicPr>
        <xdr:cNvPr id="0" name="image9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41</xdr:row>
      <xdr:rowOff>0</xdr:rowOff>
    </xdr:from>
    <xdr:ext cx="676275" cy="219075"/>
    <xdr:pic>
      <xdr:nvPicPr>
        <xdr:cNvPr id="0" name="image3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42</xdr:row>
      <xdr:rowOff>0</xdr:rowOff>
    </xdr:from>
    <xdr:ext cx="476250" cy="219075"/>
    <xdr:pic>
      <xdr:nvPicPr>
        <xdr:cNvPr id="0" name="image5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58</xdr:row>
      <xdr:rowOff>0</xdr:rowOff>
    </xdr:from>
    <xdr:ext cx="923925" cy="219075"/>
    <xdr:pic>
      <xdr:nvPicPr>
        <xdr:cNvPr id="0" name="image6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60</xdr:row>
      <xdr:rowOff>0</xdr:rowOff>
    </xdr:from>
    <xdr:ext cx="466725" cy="219075"/>
    <xdr:pic>
      <xdr:nvPicPr>
        <xdr:cNvPr id="0" name="image11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16</xdr:row>
      <xdr:rowOff>0</xdr:rowOff>
    </xdr:from>
    <xdr:ext cx="657225" cy="2190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17</xdr:row>
      <xdr:rowOff>0</xdr:rowOff>
    </xdr:from>
    <xdr:ext cx="571500" cy="219075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20</xdr:row>
      <xdr:rowOff>0</xdr:rowOff>
    </xdr:from>
    <xdr:ext cx="942975" cy="219075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21</xdr:row>
      <xdr:rowOff>0</xdr:rowOff>
    </xdr:from>
    <xdr:ext cx="1085850" cy="219075"/>
    <xdr:pic>
      <xdr:nvPicPr>
        <xdr:cNvPr id="0" name="image1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27</xdr:row>
      <xdr:rowOff>0</xdr:rowOff>
    </xdr:from>
    <xdr:ext cx="771525" cy="219075"/>
    <xdr:pic>
      <xdr:nvPicPr>
        <xdr:cNvPr id="0" name="image7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28</xdr:row>
      <xdr:rowOff>0</xdr:rowOff>
    </xdr:from>
    <xdr:ext cx="914400" cy="219075"/>
    <xdr:pic>
      <xdr:nvPicPr>
        <xdr:cNvPr id="0" name="image9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37</xdr:row>
      <xdr:rowOff>0</xdr:rowOff>
    </xdr:from>
    <xdr:ext cx="676275" cy="219075"/>
    <xdr:pic>
      <xdr:nvPicPr>
        <xdr:cNvPr id="0" name="image3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38</xdr:row>
      <xdr:rowOff>0</xdr:rowOff>
    </xdr:from>
    <xdr:ext cx="476250" cy="219075"/>
    <xdr:pic>
      <xdr:nvPicPr>
        <xdr:cNvPr id="0" name="image5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50</xdr:row>
      <xdr:rowOff>0</xdr:rowOff>
    </xdr:from>
    <xdr:ext cx="923925" cy="219075"/>
    <xdr:pic>
      <xdr:nvPicPr>
        <xdr:cNvPr id="0" name="image6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52</xdr:row>
      <xdr:rowOff>0</xdr:rowOff>
    </xdr:from>
    <xdr:ext cx="466725" cy="219075"/>
    <xdr:pic>
      <xdr:nvPicPr>
        <xdr:cNvPr id="0" name="image11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Lucas Chini Ferrari" id="{f5beb860-971c-4b5e-b218-01c233d2b624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30" dT="2026-03-02T02:16:37.00" personId="{f5beb860-971c-4b5e-b218-01c233d2b624}" id="{ddaee161-78ab-4d8c-b5c8-2025a3a299fd}" done="0">
    <x18tc:text xml:space="preserve">from FSAE Tire Test Consortium (TTC)</x18tc:text>
  </x18tc:threadedComment>
  <x18tc:threadedComment ref="C30" dT="2026-03-02T02:12:40.00" personId="{f5beb860-971c-4b5e-b218-01c233d2b624}" id="{96817d56-29a4-4735-bc54-95b662f5afdf}" done="1">
    <x18tc:text xml:space="preserve">from FSAE Tire Test Consortium (TTC)</x18tc:text>
  </x18tc:threadedComment>
  <x18tc:threadedComment ref="C41" dT="2026-03-02T02:17:07.00" personId="{f5beb860-971c-4b5e-b218-01c233d2b624}" id="{0696bf70-f26d-44ba-b39b-aa3ea27dbe9f}" done="0">
    <x18tc:text xml:space="preserve">1.23 square inches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30" dT="2026-03-02T02:01:30.00" personId="{f5beb860-971c-4b5e-b218-01c233d2b624}" id="{c00b7e6c-0dc9-4802-901a-4001344748d3}" done="0">
    <x18tc:text xml:space="preserve">both, we're using just one rotor</x18tc:text>
  </x18tc:threadedComment>
  <x18tc:threadedComment ref="C28" dT="2026-03-02T04:02:44.00" personId="{f5beb860-971c-4b5e-b218-01c233d2b624}" id="{29837fba-964d-47ba-9ede-047f6f9790e1}" done="0">
    <x18tc:text xml:space="preserve">check in first tab adding fixed vehicle parameters....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document/d/1xtT0uKtX6zTf3e1bnGfSxppAlfkuWqXwDyTRrLOHx28/edit?tab=t.0" TargetMode="External"/><Relationship Id="rId9" Type="http://schemas.openxmlformats.org/officeDocument/2006/relationships/vmlDrawing" Target="../drawings/vmlDrawing1.vml"/><Relationship Id="rId5" Type="http://schemas.openxmlformats.org/officeDocument/2006/relationships/hyperlink" Target="https://www.wilwood.com/BrakePads/BrakePadsProd?itemno=150-28-4908K" TargetMode="External"/><Relationship Id="rId6" Type="http://schemas.openxmlformats.org/officeDocument/2006/relationships/hyperlink" Target="https://www.wilwood.com/Calipers/CaliperProd?itemno=120-17702%20%20%20%20%20%20&amp;appid=0" TargetMode="External"/><Relationship Id="rId7" Type="http://schemas.openxmlformats.org/officeDocument/2006/relationships/hyperlink" Target="https://tiltonracing.com/product/78-series-master-cylinders/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xtT0uKtX6zTf3e1bnGfSxppAlfkuWqXwDyTRrLOHx28/edit?tab=t.0" TargetMode="External"/><Relationship Id="rId2" Type="http://schemas.openxmlformats.org/officeDocument/2006/relationships/hyperlink" Target="https://www.wilwood.com/BrakePads/BrakePadsProd?itemno=150-28-4908K" TargetMode="External"/><Relationship Id="rId3" Type="http://schemas.openxmlformats.org/officeDocument/2006/relationships/hyperlink" Target="https://www.wilwood.com/Calipers/CaliperProd?itemno=120-17702%20%20%20%20%20%20&amp;appid=0" TargetMode="External"/><Relationship Id="rId4" Type="http://schemas.openxmlformats.org/officeDocument/2006/relationships/hyperlink" Target="https://tiltonracing.com/product/78-series-master-cylinders/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1.5"/>
    <col customWidth="1" min="5" max="5" width="22.88"/>
    <col customWidth="1" min="6" max="6" width="78.75"/>
    <col customWidth="1" min="7" max="7" width="40.5"/>
    <col customWidth="1" min="10" max="10" width="17.25"/>
    <col customWidth="1" min="12" max="12" width="13.63"/>
  </cols>
  <sheetData>
    <row r="1">
      <c r="A1" s="1" t="s">
        <v>0</v>
      </c>
    </row>
    <row r="2" ht="17.25" customHeight="1">
      <c r="F2" s="2" t="s">
        <v>1</v>
      </c>
    </row>
    <row r="3" ht="17.25" customHeight="1">
      <c r="F3" s="3" t="s">
        <v>2</v>
      </c>
    </row>
    <row r="4" ht="17.25" customHeight="1">
      <c r="F4" s="4" t="s">
        <v>3</v>
      </c>
    </row>
    <row r="5" ht="17.25" customHeight="1">
      <c r="E5" s="5"/>
    </row>
    <row r="6" ht="17.25" customHeight="1">
      <c r="A6" s="6" t="s">
        <v>4</v>
      </c>
    </row>
    <row r="7" ht="17.25" customHeight="1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</row>
    <row r="8" ht="17.25" customHeight="1">
      <c r="A8" s="5" t="s">
        <v>12</v>
      </c>
      <c r="B8" s="5" t="s">
        <v>13</v>
      </c>
      <c r="C8" s="5">
        <v>9.81</v>
      </c>
      <c r="D8" s="5" t="s">
        <v>14</v>
      </c>
      <c r="E8" s="5" t="s">
        <v>15</v>
      </c>
    </row>
    <row r="9" ht="17.25" customHeight="1"/>
    <row r="10" ht="17.25" customHeight="1"/>
    <row r="11" ht="17.25" customHeight="1">
      <c r="A11" s="6" t="s">
        <v>16</v>
      </c>
    </row>
    <row r="12" ht="17.25" customHeight="1">
      <c r="A12" s="6" t="s">
        <v>5</v>
      </c>
      <c r="B12" s="6" t="s">
        <v>6</v>
      </c>
      <c r="C12" s="6" t="s">
        <v>7</v>
      </c>
      <c r="D12" s="6" t="s">
        <v>8</v>
      </c>
      <c r="E12" s="6" t="s">
        <v>9</v>
      </c>
      <c r="F12" s="6" t="s">
        <v>10</v>
      </c>
      <c r="G12" s="6" t="s">
        <v>11</v>
      </c>
    </row>
    <row r="13" ht="17.25" customHeight="1">
      <c r="A13" s="5" t="s">
        <v>17</v>
      </c>
      <c r="B13" s="5" t="s">
        <v>18</v>
      </c>
      <c r="C13" s="2">
        <v>320.0</v>
      </c>
      <c r="D13" s="5" t="s">
        <v>19</v>
      </c>
      <c r="E13" s="5" t="s">
        <v>15</v>
      </c>
      <c r="F13" s="5" t="s">
        <v>20</v>
      </c>
    </row>
    <row r="14" ht="17.25" customHeight="1">
      <c r="A14" s="5" t="s">
        <v>21</v>
      </c>
      <c r="B14" s="5" t="s">
        <v>22</v>
      </c>
      <c r="C14" s="2">
        <v>0.3556</v>
      </c>
      <c r="D14" s="5" t="s">
        <v>23</v>
      </c>
      <c r="E14" s="5" t="s">
        <v>15</v>
      </c>
      <c r="F14" s="5" t="s">
        <v>24</v>
      </c>
      <c r="G14" s="7" t="s">
        <v>25</v>
      </c>
    </row>
    <row r="15" ht="17.25" customHeight="1">
      <c r="A15" s="5" t="s">
        <v>26</v>
      </c>
      <c r="B15" s="5" t="s">
        <v>27</v>
      </c>
      <c r="C15" s="2">
        <v>1.625</v>
      </c>
      <c r="D15" s="5" t="s">
        <v>23</v>
      </c>
      <c r="E15" s="5" t="s">
        <v>15</v>
      </c>
      <c r="F15" s="5" t="s">
        <v>28</v>
      </c>
    </row>
    <row r="16" ht="17.25" customHeight="1">
      <c r="A16" s="5" t="s">
        <v>29</v>
      </c>
      <c r="B16" s="5" t="s">
        <v>30</v>
      </c>
      <c r="C16" s="2">
        <v>1.5</v>
      </c>
      <c r="D16" s="5" t="s">
        <v>31</v>
      </c>
      <c r="F16" s="5" t="s">
        <v>32</v>
      </c>
    </row>
    <row r="17" ht="17.25" customHeight="1">
      <c r="A17" s="5" t="s">
        <v>33</v>
      </c>
      <c r="B17" s="5" t="s">
        <v>34</v>
      </c>
      <c r="C17" s="8">
        <f>C13*C8</f>
        <v>3139.2</v>
      </c>
      <c r="D17" s="5" t="s">
        <v>35</v>
      </c>
      <c r="E17" s="9"/>
    </row>
    <row r="18" ht="17.25" customHeight="1">
      <c r="A18" s="5" t="s">
        <v>36</v>
      </c>
      <c r="B18" s="5" t="s">
        <v>37</v>
      </c>
      <c r="C18" s="8">
        <f>(C17*C16*C14)/(C15)</f>
        <v>1030.430326</v>
      </c>
      <c r="D18" s="5" t="s">
        <v>35</v>
      </c>
      <c r="E18" s="9"/>
    </row>
    <row r="19" ht="17.25" customHeight="1">
      <c r="A19" s="5" t="s">
        <v>38</v>
      </c>
      <c r="B19" s="5" t="s">
        <v>39</v>
      </c>
      <c r="C19" s="8">
        <f>(C15*0.52)</f>
        <v>0.845</v>
      </c>
      <c r="D19" s="5" t="s">
        <v>23</v>
      </c>
      <c r="G19" s="5" t="s">
        <v>40</v>
      </c>
    </row>
    <row r="20" ht="17.25" customHeight="1">
      <c r="A20" s="5" t="s">
        <v>41</v>
      </c>
      <c r="B20" s="5" t="s">
        <v>42</v>
      </c>
      <c r="C20" s="8">
        <f>(C15*0.48)</f>
        <v>0.78</v>
      </c>
      <c r="D20" s="5" t="s">
        <v>23</v>
      </c>
    </row>
    <row r="21" ht="17.25" customHeight="1">
      <c r="A21" s="5" t="s">
        <v>43</v>
      </c>
      <c r="C21" s="8">
        <f>C17*(C19/C15)</f>
        <v>1632.384</v>
      </c>
      <c r="D21" s="5" t="s">
        <v>35</v>
      </c>
      <c r="E21" s="9"/>
      <c r="F21" s="5"/>
    </row>
    <row r="22" ht="17.25" customHeight="1">
      <c r="A22" s="5" t="s">
        <v>44</v>
      </c>
      <c r="C22" s="8">
        <f>C17*(C20/C15)</f>
        <v>1506.816</v>
      </c>
      <c r="D22" s="5" t="s">
        <v>35</v>
      </c>
      <c r="E22" s="9"/>
      <c r="F22" s="5"/>
    </row>
    <row r="23" ht="17.25" customHeight="1">
      <c r="A23" s="5" t="s">
        <v>45</v>
      </c>
      <c r="B23" s="5" t="s">
        <v>46</v>
      </c>
      <c r="C23" s="8">
        <f>C21+C18</f>
        <v>2662.814326</v>
      </c>
      <c r="D23" s="5" t="s">
        <v>35</v>
      </c>
      <c r="E23" s="9"/>
    </row>
    <row r="24" ht="17.25" customHeight="1">
      <c r="A24" s="5" t="s">
        <v>47</v>
      </c>
      <c r="B24" s="5" t="s">
        <v>48</v>
      </c>
      <c r="C24" s="8">
        <f>C22-C18</f>
        <v>476.3856738</v>
      </c>
      <c r="D24" s="5" t="s">
        <v>35</v>
      </c>
      <c r="E24" s="9"/>
    </row>
    <row r="25" ht="17.25" customHeight="1"/>
    <row r="26" ht="17.25" customHeight="1">
      <c r="A26" s="6" t="s">
        <v>49</v>
      </c>
    </row>
    <row r="27" ht="17.25" customHeight="1">
      <c r="A27" s="6" t="s">
        <v>5</v>
      </c>
      <c r="B27" s="6" t="s">
        <v>6</v>
      </c>
      <c r="C27" s="6" t="s">
        <v>7</v>
      </c>
      <c r="D27" s="6" t="s">
        <v>8</v>
      </c>
      <c r="E27" s="6" t="s">
        <v>9</v>
      </c>
      <c r="F27" s="6" t="s">
        <v>10</v>
      </c>
      <c r="G27" s="6" t="s">
        <v>11</v>
      </c>
    </row>
    <row r="28" ht="17.25" customHeight="1">
      <c r="A28" s="5" t="s">
        <v>50</v>
      </c>
      <c r="B28" s="5" t="s">
        <v>51</v>
      </c>
      <c r="C28" s="2">
        <v>2.0</v>
      </c>
      <c r="D28" s="5" t="s">
        <v>15</v>
      </c>
      <c r="E28" s="5" t="s">
        <v>15</v>
      </c>
      <c r="F28" s="5" t="s">
        <v>52</v>
      </c>
    </row>
    <row r="29" ht="17.25" customHeight="1">
      <c r="A29" s="5" t="s">
        <v>53</v>
      </c>
      <c r="B29" s="5" t="s">
        <v>54</v>
      </c>
      <c r="C29" s="2">
        <v>2.0</v>
      </c>
      <c r="D29" s="5" t="s">
        <v>15</v>
      </c>
      <c r="E29" s="5" t="s">
        <v>15</v>
      </c>
      <c r="F29" s="5" t="s">
        <v>55</v>
      </c>
    </row>
    <row r="30" ht="17.25" customHeight="1">
      <c r="A30" s="5" t="s">
        <v>56</v>
      </c>
      <c r="B30" s="5" t="s">
        <v>57</v>
      </c>
      <c r="C30" s="2">
        <v>1.5</v>
      </c>
      <c r="D30" s="5" t="s">
        <v>15</v>
      </c>
      <c r="E30" s="5" t="s">
        <v>15</v>
      </c>
    </row>
    <row r="31" ht="17.25" customHeight="1">
      <c r="A31" s="5" t="s">
        <v>58</v>
      </c>
      <c r="B31" s="5" t="s">
        <v>59</v>
      </c>
      <c r="C31" s="2">
        <v>0.224</v>
      </c>
      <c r="D31" s="5" t="s">
        <v>23</v>
      </c>
      <c r="E31" s="5" t="s">
        <v>15</v>
      </c>
      <c r="G31" s="5" t="s">
        <v>60</v>
      </c>
    </row>
    <row r="32" ht="17.25" customHeight="1">
      <c r="A32" s="5" t="s">
        <v>61</v>
      </c>
      <c r="B32" s="5" t="s">
        <v>62</v>
      </c>
      <c r="C32" s="8">
        <f>(C23/2)*C30</f>
        <v>1997.110745</v>
      </c>
      <c r="D32" s="5" t="s">
        <v>35</v>
      </c>
      <c r="E32" s="9"/>
      <c r="F32" s="5" t="s">
        <v>63</v>
      </c>
    </row>
    <row r="33" ht="17.25" customHeight="1">
      <c r="A33" s="5" t="s">
        <v>64</v>
      </c>
      <c r="B33" s="5" t="s">
        <v>65</v>
      </c>
      <c r="C33" s="8">
        <f>C32*C31*(2/C28)</f>
        <v>447.3528068</v>
      </c>
      <c r="D33" s="5" t="s">
        <v>66</v>
      </c>
      <c r="E33" s="9"/>
      <c r="F33" s="5" t="s">
        <v>67</v>
      </c>
    </row>
    <row r="34" ht="17.25" customHeight="1">
      <c r="A34" s="5" t="s">
        <v>68</v>
      </c>
      <c r="B34" s="5" t="s">
        <v>69</v>
      </c>
      <c r="C34" s="8">
        <f>(C24/2)*C30</f>
        <v>357.2892554</v>
      </c>
      <c r="D34" s="5" t="s">
        <v>35</v>
      </c>
      <c r="E34" s="10" t="s">
        <v>70</v>
      </c>
      <c r="F34" s="5" t="s">
        <v>71</v>
      </c>
    </row>
    <row r="35" ht="17.25" customHeight="1">
      <c r="A35" s="5" t="s">
        <v>72</v>
      </c>
      <c r="B35" s="5" t="s">
        <v>73</v>
      </c>
      <c r="C35" s="8">
        <f>C34*C31*(2/C29)</f>
        <v>80.03279321</v>
      </c>
      <c r="D35" s="5" t="s">
        <v>66</v>
      </c>
      <c r="E35" s="10" t="s">
        <v>70</v>
      </c>
      <c r="F35" s="5" t="s">
        <v>74</v>
      </c>
    </row>
    <row r="36" ht="17.25" customHeight="1"/>
    <row r="37" ht="17.25" customHeight="1">
      <c r="A37" s="6" t="s">
        <v>75</v>
      </c>
    </row>
    <row r="38" ht="17.25" customHeight="1">
      <c r="A38" s="6" t="s">
        <v>5</v>
      </c>
      <c r="B38" s="6" t="s">
        <v>6</v>
      </c>
      <c r="C38" s="6" t="s">
        <v>7</v>
      </c>
      <c r="D38" s="6" t="s">
        <v>8</v>
      </c>
      <c r="E38" s="6" t="s">
        <v>9</v>
      </c>
      <c r="F38" s="6" t="s">
        <v>10</v>
      </c>
      <c r="G38" s="6" t="s">
        <v>11</v>
      </c>
    </row>
    <row r="39" ht="17.25" customHeight="1">
      <c r="A39" s="5" t="s">
        <v>76</v>
      </c>
      <c r="B39" s="5" t="s">
        <v>77</v>
      </c>
      <c r="C39" s="2">
        <v>0.0885</v>
      </c>
      <c r="D39" s="5" t="s">
        <v>23</v>
      </c>
      <c r="E39" s="5" t="s">
        <v>15</v>
      </c>
      <c r="F39" s="5" t="s">
        <v>78</v>
      </c>
      <c r="G39" s="5" t="s">
        <v>79</v>
      </c>
      <c r="R39" s="5" t="s">
        <v>80</v>
      </c>
    </row>
    <row r="40" ht="17.25" customHeight="1">
      <c r="A40" s="5" t="s">
        <v>81</v>
      </c>
      <c r="B40" s="5" t="s">
        <v>82</v>
      </c>
      <c r="C40" s="2">
        <v>0.48</v>
      </c>
      <c r="D40" s="5" t="s">
        <v>15</v>
      </c>
      <c r="E40" s="5" t="s">
        <v>15</v>
      </c>
      <c r="F40" s="5" t="s">
        <v>83</v>
      </c>
      <c r="G40" s="11" t="s">
        <v>84</v>
      </c>
      <c r="H40" s="5" t="s">
        <v>85</v>
      </c>
      <c r="R40" s="12">
        <f>(PI()*(15.875/2)^2)</f>
        <v>197.932609</v>
      </c>
      <c r="S40" s="13" t="s">
        <v>86</v>
      </c>
    </row>
    <row r="41" ht="17.25" customHeight="1">
      <c r="A41" s="5" t="s">
        <v>87</v>
      </c>
      <c r="B41" s="5" t="s">
        <v>88</v>
      </c>
      <c r="C41" s="2">
        <v>793.55</v>
      </c>
      <c r="D41" s="5" t="s">
        <v>89</v>
      </c>
      <c r="E41" s="5" t="s">
        <v>15</v>
      </c>
      <c r="F41" s="5" t="s">
        <v>90</v>
      </c>
      <c r="G41" s="11" t="s">
        <v>91</v>
      </c>
      <c r="R41" s="12">
        <f>PI()*(19.05/2)^2</f>
        <v>285.022957</v>
      </c>
      <c r="S41" s="13" t="s">
        <v>92</v>
      </c>
    </row>
    <row r="42" ht="28.5" customHeight="1">
      <c r="A42" s="5" t="s">
        <v>93</v>
      </c>
      <c r="B42" s="5" t="s">
        <v>94</v>
      </c>
      <c r="C42" s="8">
        <f>C33/(2*C40*C39)</f>
        <v>5265.452057</v>
      </c>
      <c r="D42" s="5" t="s">
        <v>35</v>
      </c>
      <c r="E42" s="9"/>
      <c r="F42" s="5" t="s">
        <v>95</v>
      </c>
    </row>
    <row r="43" ht="30.75" customHeight="1">
      <c r="A43" s="5" t="s">
        <v>96</v>
      </c>
      <c r="B43" s="5" t="s">
        <v>97</v>
      </c>
      <c r="C43" s="8">
        <f>C42/C41</f>
        <v>6.635312277</v>
      </c>
      <c r="D43" s="5" t="s">
        <v>98</v>
      </c>
      <c r="E43" s="9"/>
      <c r="F43" s="5" t="s">
        <v>99</v>
      </c>
    </row>
    <row r="44" ht="17.25" customHeight="1">
      <c r="A44" s="5" t="s">
        <v>100</v>
      </c>
      <c r="B44" s="5" t="s">
        <v>101</v>
      </c>
      <c r="C44" s="8">
        <f>C35/(2*C40*C39)</f>
        <v>942.0055698</v>
      </c>
      <c r="D44" s="5" t="s">
        <v>35</v>
      </c>
      <c r="E44" s="10" t="s">
        <v>70</v>
      </c>
      <c r="F44" s="5" t="s">
        <v>102</v>
      </c>
    </row>
    <row r="45" ht="17.25" customHeight="1">
      <c r="A45" s="5" t="s">
        <v>103</v>
      </c>
      <c r="B45" s="5" t="s">
        <v>104</v>
      </c>
      <c r="C45" s="8">
        <f>C44/C41</f>
        <v>1.187077777</v>
      </c>
      <c r="D45" s="5" t="s">
        <v>98</v>
      </c>
      <c r="E45" s="10" t="s">
        <v>70</v>
      </c>
      <c r="F45" s="5" t="s">
        <v>99</v>
      </c>
    </row>
    <row r="46" ht="17.25" customHeight="1"/>
    <row r="47" ht="17.25" customHeight="1">
      <c r="A47" s="6" t="s">
        <v>105</v>
      </c>
      <c r="C47" s="6"/>
    </row>
    <row r="48" ht="17.25" customHeight="1">
      <c r="A48" s="6" t="s">
        <v>5</v>
      </c>
      <c r="B48" s="6" t="s">
        <v>6</v>
      </c>
      <c r="C48" s="6" t="s">
        <v>7</v>
      </c>
      <c r="D48" s="6" t="s">
        <v>8</v>
      </c>
      <c r="E48" s="6" t="s">
        <v>9</v>
      </c>
      <c r="F48" s="6" t="s">
        <v>10</v>
      </c>
      <c r="G48" s="6" t="s">
        <v>11</v>
      </c>
    </row>
    <row r="49" ht="17.25" customHeight="1">
      <c r="A49" s="5" t="s">
        <v>106</v>
      </c>
      <c r="B49" s="5"/>
      <c r="C49" s="14" t="s">
        <v>107</v>
      </c>
      <c r="D49" s="5" t="s">
        <v>108</v>
      </c>
      <c r="E49" s="5"/>
      <c r="F49" s="5" t="s">
        <v>109</v>
      </c>
      <c r="G49" s="5"/>
      <c r="H49" s="5"/>
    </row>
    <row r="50" ht="17.25" customHeight="1">
      <c r="A50" s="5" t="s">
        <v>110</v>
      </c>
      <c r="B50" s="5"/>
      <c r="C50" s="14" t="s">
        <v>107</v>
      </c>
      <c r="D50" s="5" t="s">
        <v>108</v>
      </c>
      <c r="E50" s="5"/>
      <c r="F50" s="5" t="s">
        <v>111</v>
      </c>
      <c r="G50" s="5"/>
      <c r="H50" s="5"/>
    </row>
    <row r="51" ht="17.25" customHeight="1">
      <c r="A51" s="15" t="s">
        <v>112</v>
      </c>
      <c r="B51" s="5"/>
      <c r="C51" s="16">
        <f t="shared" ref="C51:C52" si="1">C49*25.4</f>
        <v>15.875</v>
      </c>
      <c r="D51" s="5" t="s">
        <v>113</v>
      </c>
      <c r="E51" s="5"/>
      <c r="F51" s="5"/>
      <c r="G51" s="5"/>
      <c r="H51" s="5"/>
    </row>
    <row r="52" ht="17.25" customHeight="1">
      <c r="A52" s="15" t="s">
        <v>114</v>
      </c>
      <c r="B52" s="5"/>
      <c r="C52" s="16">
        <f t="shared" si="1"/>
        <v>15.875</v>
      </c>
      <c r="D52" s="5" t="s">
        <v>113</v>
      </c>
      <c r="E52" s="5"/>
      <c r="F52" s="5"/>
      <c r="G52" s="5"/>
      <c r="H52" s="5"/>
    </row>
    <row r="53" ht="17.25" customHeight="1">
      <c r="A53" s="5" t="s">
        <v>115</v>
      </c>
      <c r="B53" s="5" t="s">
        <v>116</v>
      </c>
      <c r="C53" s="17">
        <f t="shared" ref="C53:C54" si="2">(PI()*(C51/2)^2)</f>
        <v>197.932609</v>
      </c>
      <c r="D53" s="5" t="s">
        <v>89</v>
      </c>
      <c r="E53" s="5" t="s">
        <v>15</v>
      </c>
      <c r="F53" s="5" t="s">
        <v>117</v>
      </c>
      <c r="H53" s="18" t="s">
        <v>118</v>
      </c>
    </row>
    <row r="54" ht="17.25" customHeight="1">
      <c r="A54" s="5" t="s">
        <v>119</v>
      </c>
      <c r="B54" s="5" t="s">
        <v>120</v>
      </c>
      <c r="C54" s="17">
        <f t="shared" si="2"/>
        <v>197.932609</v>
      </c>
      <c r="D54" s="5" t="s">
        <v>89</v>
      </c>
      <c r="E54" s="5" t="s">
        <v>15</v>
      </c>
      <c r="F54" s="5" t="s">
        <v>117</v>
      </c>
    </row>
    <row r="55" ht="17.25" customHeight="1">
      <c r="A55" s="5" t="s">
        <v>121</v>
      </c>
      <c r="B55" s="5" t="s">
        <v>122</v>
      </c>
      <c r="C55" s="17">
        <v>6.0</v>
      </c>
      <c r="D55" s="10" t="s">
        <v>123</v>
      </c>
      <c r="F55" s="5" t="s">
        <v>124</v>
      </c>
    </row>
    <row r="56" ht="17.25" customHeight="1">
      <c r="A56" s="5" t="s">
        <v>125</v>
      </c>
      <c r="B56" s="5" t="s">
        <v>126</v>
      </c>
      <c r="C56" s="2">
        <v>0.65</v>
      </c>
      <c r="D56" s="10" t="s">
        <v>127</v>
      </c>
      <c r="E56" s="5" t="s">
        <v>15</v>
      </c>
      <c r="F56" s="5" t="s">
        <v>128</v>
      </c>
    </row>
    <row r="57" ht="17.25" customHeight="1">
      <c r="A57" s="5" t="s">
        <v>129</v>
      </c>
      <c r="B57" s="5" t="s">
        <v>130</v>
      </c>
      <c r="C57" s="2">
        <v>0.35</v>
      </c>
      <c r="D57" s="10" t="s">
        <v>127</v>
      </c>
      <c r="E57" s="5" t="s">
        <v>15</v>
      </c>
      <c r="F57" s="5" t="s">
        <v>131</v>
      </c>
    </row>
    <row r="58" ht="17.25" customHeight="1">
      <c r="A58" s="5" t="s">
        <v>132</v>
      </c>
      <c r="B58" s="5" t="s">
        <v>133</v>
      </c>
      <c r="C58" s="2">
        <v>400.0</v>
      </c>
      <c r="D58" s="5" t="s">
        <v>35</v>
      </c>
      <c r="E58" s="5" t="s">
        <v>15</v>
      </c>
      <c r="F58" s="5" t="s">
        <v>134</v>
      </c>
    </row>
    <row r="59" ht="24.0" customHeight="1">
      <c r="A59" s="5" t="s">
        <v>135</v>
      </c>
      <c r="B59" s="5" t="s">
        <v>136</v>
      </c>
      <c r="C59" s="8">
        <f>C43*C53</f>
        <v>1313.344671</v>
      </c>
      <c r="D59" s="5" t="s">
        <v>35</v>
      </c>
      <c r="E59" s="9"/>
      <c r="F59" s="5" t="s">
        <v>137</v>
      </c>
    </row>
    <row r="60" ht="17.25" customHeight="1">
      <c r="A60" s="5" t="s">
        <v>138</v>
      </c>
      <c r="B60" s="5" t="s">
        <v>139</v>
      </c>
      <c r="C60" s="8">
        <f>C45*C54</f>
        <v>234.9614015</v>
      </c>
      <c r="D60" s="5" t="s">
        <v>35</v>
      </c>
      <c r="E60" s="10" t="s">
        <v>70</v>
      </c>
      <c r="F60" s="5" t="s">
        <v>140</v>
      </c>
    </row>
    <row r="61" ht="29.25" customHeight="1">
      <c r="A61" s="5" t="s">
        <v>141</v>
      </c>
      <c r="B61" s="5" t="s">
        <v>142</v>
      </c>
      <c r="C61" s="8">
        <f t="shared" ref="C61:C62" si="3">C59/C56</f>
        <v>2020.530263</v>
      </c>
      <c r="D61" s="5" t="s">
        <v>35</v>
      </c>
      <c r="E61" s="9"/>
      <c r="F61" s="5" t="s">
        <v>143</v>
      </c>
    </row>
    <row r="62" ht="17.25" customHeight="1">
      <c r="A62" s="5" t="s">
        <v>144</v>
      </c>
      <c r="B62" s="5" t="s">
        <v>145</v>
      </c>
      <c r="C62" s="8">
        <f t="shared" si="3"/>
        <v>671.3182899</v>
      </c>
      <c r="D62" s="5" t="s">
        <v>35</v>
      </c>
      <c r="E62" s="10" t="s">
        <v>70</v>
      </c>
      <c r="F62" s="5" t="s">
        <v>146</v>
      </c>
    </row>
    <row r="63" ht="17.25" customHeight="1">
      <c r="A63" s="5" t="s">
        <v>147</v>
      </c>
      <c r="B63" s="5" t="s">
        <v>148</v>
      </c>
      <c r="C63" s="8">
        <f>C58*C55</f>
        <v>2400</v>
      </c>
      <c r="D63" s="5" t="s">
        <v>35</v>
      </c>
      <c r="E63" s="19" t="s">
        <v>149</v>
      </c>
      <c r="F63" s="5" t="s">
        <v>150</v>
      </c>
    </row>
    <row r="64" ht="17.25" customHeight="1">
      <c r="A64" s="5"/>
    </row>
    <row r="65" ht="17.25" customHeight="1">
      <c r="A65" s="5" t="s">
        <v>151</v>
      </c>
      <c r="B65" s="5" t="s">
        <v>15</v>
      </c>
      <c r="C65" s="8" t="b">
        <f>C63&gt;C61</f>
        <v>1</v>
      </c>
      <c r="D65" s="5" t="s">
        <v>15</v>
      </c>
      <c r="E65" s="19" t="s">
        <v>152</v>
      </c>
      <c r="F65" s="5" t="s">
        <v>153</v>
      </c>
    </row>
    <row r="66" ht="17.25" customHeight="1">
      <c r="A66" s="5" t="s">
        <v>154</v>
      </c>
      <c r="B66" s="5" t="s">
        <v>15</v>
      </c>
      <c r="C66" s="8" t="b">
        <f>C63&gt;C62</f>
        <v>1</v>
      </c>
      <c r="D66" s="5" t="s">
        <v>15</v>
      </c>
      <c r="E66" s="19" t="s">
        <v>155</v>
      </c>
      <c r="F66" s="5" t="s">
        <v>156</v>
      </c>
    </row>
    <row r="67" ht="17.25" customHeight="1"/>
    <row r="68" ht="17.25" customHeight="1"/>
    <row r="69" ht="17.25" customHeight="1">
      <c r="A69" s="6" t="s">
        <v>157</v>
      </c>
    </row>
    <row r="70" ht="17.25" customHeight="1">
      <c r="A70" s="6" t="s">
        <v>5</v>
      </c>
      <c r="B70" s="6" t="s">
        <v>6</v>
      </c>
      <c r="C70" s="6" t="s">
        <v>7</v>
      </c>
      <c r="D70" s="6" t="s">
        <v>8</v>
      </c>
      <c r="E70" s="6" t="s">
        <v>9</v>
      </c>
      <c r="F70" s="6" t="s">
        <v>10</v>
      </c>
      <c r="G70" s="6" t="s">
        <v>11</v>
      </c>
    </row>
    <row r="71" ht="17.25" customHeight="1">
      <c r="A71" s="5" t="s">
        <v>158</v>
      </c>
      <c r="B71" s="5" t="s">
        <v>51</v>
      </c>
      <c r="C71" s="3">
        <f t="shared" ref="C71:C72" si="4">C28</f>
        <v>2</v>
      </c>
      <c r="D71" s="5" t="s">
        <v>15</v>
      </c>
      <c r="E71" s="5" t="s">
        <v>15</v>
      </c>
      <c r="F71" s="5" t="s">
        <v>52</v>
      </c>
    </row>
    <row r="72" ht="17.25" customHeight="1">
      <c r="A72" s="5" t="s">
        <v>159</v>
      </c>
      <c r="B72" s="5" t="s">
        <v>54</v>
      </c>
      <c r="C72" s="3">
        <f t="shared" si="4"/>
        <v>2</v>
      </c>
      <c r="D72" s="5" t="s">
        <v>15</v>
      </c>
      <c r="E72" s="5" t="s">
        <v>15</v>
      </c>
      <c r="F72" s="5" t="s">
        <v>160</v>
      </c>
    </row>
    <row r="73" ht="17.25" customHeight="1">
      <c r="A73" s="5" t="s">
        <v>161</v>
      </c>
      <c r="B73" s="5" t="s">
        <v>162</v>
      </c>
      <c r="C73" s="2">
        <v>2.0</v>
      </c>
      <c r="D73" s="5" t="s">
        <v>15</v>
      </c>
      <c r="E73" s="5" t="s">
        <v>15</v>
      </c>
      <c r="F73" s="20" t="s">
        <v>163</v>
      </c>
    </row>
    <row r="74" ht="17.25" customHeight="1">
      <c r="A74" s="5" t="s">
        <v>164</v>
      </c>
      <c r="B74" s="5" t="s">
        <v>165</v>
      </c>
      <c r="C74" s="2">
        <v>792.0</v>
      </c>
      <c r="D74" s="5" t="s">
        <v>89</v>
      </c>
      <c r="E74" s="5" t="s">
        <v>15</v>
      </c>
      <c r="F74" s="20" t="s">
        <v>166</v>
      </c>
    </row>
    <row r="75" ht="17.25" customHeight="1">
      <c r="A75" s="5" t="s">
        <v>167</v>
      </c>
      <c r="B75" s="5" t="s">
        <v>168</v>
      </c>
      <c r="C75" s="2">
        <v>0.15</v>
      </c>
      <c r="D75" s="5" t="s">
        <v>113</v>
      </c>
      <c r="E75" s="5" t="s">
        <v>15</v>
      </c>
      <c r="F75" s="5" t="s">
        <v>169</v>
      </c>
    </row>
    <row r="76" ht="17.25" customHeight="1">
      <c r="A76" s="5" t="s">
        <v>170</v>
      </c>
      <c r="B76" s="5" t="s">
        <v>171</v>
      </c>
      <c r="C76" s="8">
        <f>C71*C73*C74</f>
        <v>3168</v>
      </c>
      <c r="D76" s="5" t="s">
        <v>89</v>
      </c>
    </row>
    <row r="77" ht="17.25" customHeight="1">
      <c r="A77" s="5" t="s">
        <v>172</v>
      </c>
      <c r="B77" s="5" t="s">
        <v>173</v>
      </c>
      <c r="C77" s="8">
        <f>C72*C73*C74</f>
        <v>3168</v>
      </c>
      <c r="D77" s="5" t="s">
        <v>89</v>
      </c>
    </row>
    <row r="78" ht="17.25" customHeight="1">
      <c r="A78" s="5" t="s">
        <v>174</v>
      </c>
      <c r="B78" s="5" t="s">
        <v>175</v>
      </c>
      <c r="C78" s="8">
        <f>C76*C75</f>
        <v>475.2</v>
      </c>
      <c r="D78" s="5" t="s">
        <v>176</v>
      </c>
    </row>
    <row r="79" ht="17.25" customHeight="1">
      <c r="A79" s="5" t="s">
        <v>177</v>
      </c>
      <c r="B79" s="5" t="s">
        <v>178</v>
      </c>
      <c r="C79" s="8">
        <f>C77*C75</f>
        <v>475.2</v>
      </c>
      <c r="D79" s="5" t="s">
        <v>176</v>
      </c>
    </row>
    <row r="80" ht="17.25" customHeight="1">
      <c r="A80" s="5" t="s">
        <v>179</v>
      </c>
      <c r="C80" s="2">
        <v>27.94</v>
      </c>
      <c r="D80" s="5" t="s">
        <v>113</v>
      </c>
      <c r="E80" s="5" t="s">
        <v>15</v>
      </c>
      <c r="F80" s="5" t="s">
        <v>180</v>
      </c>
    </row>
    <row r="81" ht="17.25" customHeight="1">
      <c r="A81" s="5" t="s">
        <v>181</v>
      </c>
      <c r="B81" s="5" t="s">
        <v>182</v>
      </c>
      <c r="C81" s="8">
        <f t="shared" ref="C81:C82" si="5">C78/C53</f>
        <v>2.400817138</v>
      </c>
      <c r="D81" s="5" t="s">
        <v>113</v>
      </c>
      <c r="E81" s="5" t="s">
        <v>183</v>
      </c>
      <c r="F81" s="5" t="s">
        <v>184</v>
      </c>
    </row>
    <row r="82" ht="17.25" customHeight="1">
      <c r="A82" s="5" t="s">
        <v>185</v>
      </c>
      <c r="B82" s="5" t="s">
        <v>186</v>
      </c>
      <c r="C82" s="8">
        <f t="shared" si="5"/>
        <v>2.400817138</v>
      </c>
      <c r="D82" s="5" t="s">
        <v>113</v>
      </c>
      <c r="E82" s="5" t="s">
        <v>183</v>
      </c>
      <c r="F82" s="5" t="s">
        <v>187</v>
      </c>
    </row>
    <row r="83" ht="17.25" customHeight="1">
      <c r="A83" s="5" t="s">
        <v>188</v>
      </c>
      <c r="B83" s="5" t="s">
        <v>189</v>
      </c>
      <c r="C83" s="8">
        <f>(C81+C82)/2</f>
        <v>2.400817138</v>
      </c>
      <c r="D83" s="5" t="s">
        <v>113</v>
      </c>
    </row>
    <row r="84" ht="17.25" customHeight="1">
      <c r="A84" s="5" t="s">
        <v>190</v>
      </c>
      <c r="B84" s="5"/>
      <c r="C84" s="2">
        <v>2.5</v>
      </c>
      <c r="D84" s="5" t="s">
        <v>113</v>
      </c>
      <c r="E84" s="5" t="s">
        <v>169</v>
      </c>
      <c r="F84" s="5" t="s">
        <v>191</v>
      </c>
    </row>
    <row r="85" ht="17.25" customHeight="1">
      <c r="A85" s="5" t="s">
        <v>192</v>
      </c>
      <c r="B85" s="5" t="s">
        <v>193</v>
      </c>
      <c r="C85" s="8">
        <f>C83+C84</f>
        <v>4.900817138</v>
      </c>
      <c r="D85" s="5" t="s">
        <v>113</v>
      </c>
      <c r="E85" s="5" t="s">
        <v>194</v>
      </c>
    </row>
    <row r="86" ht="17.25" customHeight="1">
      <c r="A86" s="5" t="s">
        <v>157</v>
      </c>
      <c r="B86" s="5" t="s">
        <v>195</v>
      </c>
      <c r="C86" s="8">
        <f>C85*C55</f>
        <v>29.40490283</v>
      </c>
      <c r="D86" s="5" t="s">
        <v>113</v>
      </c>
      <c r="E86" s="5" t="s">
        <v>196</v>
      </c>
      <c r="F86" s="5" t="s">
        <v>197</v>
      </c>
    </row>
    <row r="87" ht="17.25" customHeight="1">
      <c r="A87" s="5"/>
      <c r="B87" s="5"/>
    </row>
    <row r="88" ht="17.25" customHeight="1">
      <c r="A88" s="5" t="s">
        <v>198</v>
      </c>
      <c r="B88" s="5"/>
      <c r="C88" s="8">
        <f>C85+3.5</f>
        <v>8.400817138</v>
      </c>
      <c r="D88" s="5" t="s">
        <v>113</v>
      </c>
      <c r="E88" s="5" t="s">
        <v>199</v>
      </c>
      <c r="F88" s="5" t="s">
        <v>200</v>
      </c>
    </row>
    <row r="89" ht="17.25" customHeight="1">
      <c r="A89" s="5"/>
      <c r="B89" s="5"/>
    </row>
    <row r="90" ht="17.25" customHeight="1">
      <c r="A90" s="6" t="s">
        <v>201</v>
      </c>
      <c r="B90" s="20"/>
    </row>
    <row r="91" ht="17.25" customHeight="1">
      <c r="A91" s="5" t="s">
        <v>202</v>
      </c>
      <c r="B91" s="20"/>
    </row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</sheetData>
  <mergeCells count="1">
    <mergeCell ref="G14:G15"/>
  </mergeCells>
  <hyperlinks>
    <hyperlink r:id="rId4" location="heading=h.q1x5qcbvplu6" ref="G14"/>
    <hyperlink r:id="rId5" ref="G40"/>
    <hyperlink r:id="rId6" ref="G41"/>
    <hyperlink r:id="rId7" ref="H5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8"/>
  <legacy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5" max="5" width="22.88"/>
    <col customWidth="1" min="6" max="6" width="78.75"/>
    <col customWidth="1" min="7" max="7" width="40.5"/>
    <col customWidth="1" min="10" max="10" width="17.25"/>
    <col customWidth="1" min="12" max="12" width="13.63"/>
  </cols>
  <sheetData>
    <row r="1">
      <c r="A1" s="1" t="s">
        <v>0</v>
      </c>
    </row>
    <row r="2" ht="17.25" customHeight="1">
      <c r="A2" s="5" t="s">
        <v>203</v>
      </c>
      <c r="B2" s="5" t="s">
        <v>204</v>
      </c>
      <c r="F2" s="2" t="s">
        <v>1</v>
      </c>
    </row>
    <row r="3" ht="17.25" customHeight="1">
      <c r="A3" s="5" t="s">
        <v>205</v>
      </c>
      <c r="B3" s="5" t="s">
        <v>206</v>
      </c>
      <c r="F3" s="3" t="s">
        <v>2</v>
      </c>
    </row>
    <row r="4" ht="17.25" customHeight="1">
      <c r="F4" s="4" t="s">
        <v>3</v>
      </c>
    </row>
    <row r="5" ht="17.25" customHeight="1">
      <c r="E5" s="5"/>
    </row>
    <row r="6" ht="17.25" customHeight="1">
      <c r="A6" s="6" t="s">
        <v>4</v>
      </c>
    </row>
    <row r="7" ht="17.25" customHeight="1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</row>
    <row r="8" ht="17.25" customHeight="1">
      <c r="A8" s="5" t="s">
        <v>12</v>
      </c>
      <c r="B8" s="5" t="s">
        <v>13</v>
      </c>
      <c r="C8" s="5">
        <v>9.81</v>
      </c>
      <c r="D8" s="5" t="s">
        <v>14</v>
      </c>
      <c r="E8" s="5" t="s">
        <v>15</v>
      </c>
    </row>
    <row r="9" ht="17.25" customHeight="1"/>
    <row r="10" ht="17.25" customHeight="1"/>
    <row r="11" ht="17.25" customHeight="1">
      <c r="A11" s="6" t="s">
        <v>16</v>
      </c>
    </row>
    <row r="12" ht="17.25" customHeight="1">
      <c r="A12" s="6" t="s">
        <v>5</v>
      </c>
      <c r="B12" s="6" t="s">
        <v>6</v>
      </c>
      <c r="C12" s="6" t="s">
        <v>7</v>
      </c>
      <c r="D12" s="6" t="s">
        <v>8</v>
      </c>
      <c r="E12" s="6" t="s">
        <v>9</v>
      </c>
      <c r="F12" s="6" t="s">
        <v>10</v>
      </c>
      <c r="G12" s="6" t="s">
        <v>11</v>
      </c>
    </row>
    <row r="13" ht="17.25" customHeight="1">
      <c r="A13" s="5" t="s">
        <v>17</v>
      </c>
      <c r="B13" s="5" t="s">
        <v>18</v>
      </c>
      <c r="C13" s="2">
        <v>320.0</v>
      </c>
      <c r="D13" s="5" t="s">
        <v>19</v>
      </c>
      <c r="E13" s="5" t="s">
        <v>15</v>
      </c>
      <c r="F13" s="5" t="s">
        <v>20</v>
      </c>
    </row>
    <row r="14" ht="17.25" customHeight="1">
      <c r="A14" s="5" t="s">
        <v>21</v>
      </c>
      <c r="B14" s="5" t="s">
        <v>22</v>
      </c>
      <c r="C14" s="2">
        <v>0.3556</v>
      </c>
      <c r="D14" s="5" t="s">
        <v>23</v>
      </c>
      <c r="E14" s="5" t="s">
        <v>15</v>
      </c>
      <c r="F14" s="5" t="s">
        <v>24</v>
      </c>
      <c r="G14" s="7" t="s">
        <v>207</v>
      </c>
    </row>
    <row r="15" ht="17.25" customHeight="1">
      <c r="A15" s="5" t="s">
        <v>26</v>
      </c>
      <c r="B15" s="5" t="s">
        <v>27</v>
      </c>
      <c r="C15" s="2">
        <v>1.625</v>
      </c>
      <c r="D15" s="5" t="s">
        <v>23</v>
      </c>
      <c r="E15" s="5" t="s">
        <v>15</v>
      </c>
      <c r="F15" s="5" t="s">
        <v>28</v>
      </c>
    </row>
    <row r="16" ht="17.25" customHeight="1">
      <c r="A16" s="5" t="s">
        <v>29</v>
      </c>
      <c r="B16" s="5" t="s">
        <v>30</v>
      </c>
      <c r="C16" s="2">
        <v>1.5</v>
      </c>
      <c r="D16" s="5" t="s">
        <v>31</v>
      </c>
      <c r="F16" s="5" t="s">
        <v>32</v>
      </c>
    </row>
    <row r="17" ht="17.25" customHeight="1">
      <c r="A17" s="5" t="s">
        <v>33</v>
      </c>
      <c r="B17" s="5" t="s">
        <v>34</v>
      </c>
      <c r="C17" s="8">
        <f>C13*C8</f>
        <v>3139.2</v>
      </c>
      <c r="D17" s="5" t="s">
        <v>35</v>
      </c>
      <c r="E17" s="9"/>
    </row>
    <row r="18" ht="17.25" customHeight="1">
      <c r="A18" s="5" t="s">
        <v>36</v>
      </c>
      <c r="B18" s="5" t="s">
        <v>37</v>
      </c>
      <c r="C18" s="8">
        <f>(C17*C16*C14)/(C15)</f>
        <v>1030.430326</v>
      </c>
      <c r="D18" s="5" t="s">
        <v>35</v>
      </c>
      <c r="E18" s="9"/>
    </row>
    <row r="19" ht="17.25" customHeight="1">
      <c r="A19" s="5" t="s">
        <v>38</v>
      </c>
      <c r="B19" s="5" t="s">
        <v>39</v>
      </c>
      <c r="C19" s="8">
        <f>(C15*0.52)</f>
        <v>0.845</v>
      </c>
      <c r="D19" s="5" t="s">
        <v>23</v>
      </c>
      <c r="G19" s="5" t="s">
        <v>40</v>
      </c>
    </row>
    <row r="20" ht="17.25" customHeight="1">
      <c r="A20" s="5" t="s">
        <v>41</v>
      </c>
      <c r="B20" s="5" t="s">
        <v>42</v>
      </c>
      <c r="C20" s="8">
        <f>(C15*0.48)</f>
        <v>0.78</v>
      </c>
      <c r="D20" s="5" t="s">
        <v>23</v>
      </c>
    </row>
    <row r="21" ht="17.25" customHeight="1">
      <c r="A21" s="5" t="s">
        <v>43</v>
      </c>
      <c r="C21" s="8">
        <f>C17*(C19/C15)</f>
        <v>1632.384</v>
      </c>
      <c r="D21" s="5" t="s">
        <v>35</v>
      </c>
      <c r="E21" s="9"/>
      <c r="F21" s="5"/>
    </row>
    <row r="22" ht="17.25" customHeight="1">
      <c r="A22" s="5" t="s">
        <v>44</v>
      </c>
      <c r="C22" s="8">
        <f>C17*(C20/C15)</f>
        <v>1506.816</v>
      </c>
      <c r="D22" s="5" t="s">
        <v>35</v>
      </c>
      <c r="E22" s="9"/>
      <c r="F22" s="5"/>
    </row>
    <row r="23" ht="17.25" customHeight="1">
      <c r="A23" s="5" t="s">
        <v>45</v>
      </c>
      <c r="B23" s="5" t="s">
        <v>46</v>
      </c>
      <c r="C23" s="8">
        <f>C21+C18</f>
        <v>2662.814326</v>
      </c>
      <c r="D23" s="5" t="s">
        <v>35</v>
      </c>
      <c r="E23" s="9"/>
    </row>
    <row r="24" ht="17.25" customHeight="1">
      <c r="A24" s="5" t="s">
        <v>47</v>
      </c>
      <c r="B24" s="5" t="s">
        <v>48</v>
      </c>
      <c r="C24" s="8">
        <f>C22-C18</f>
        <v>476.3856738</v>
      </c>
      <c r="D24" s="5" t="s">
        <v>35</v>
      </c>
      <c r="E24" s="9"/>
    </row>
    <row r="25" ht="17.25" customHeight="1"/>
    <row r="26" ht="17.25" customHeight="1">
      <c r="A26" s="6" t="s">
        <v>49</v>
      </c>
    </row>
    <row r="27" ht="17.25" customHeight="1">
      <c r="A27" s="6" t="s">
        <v>5</v>
      </c>
      <c r="B27" s="6" t="s">
        <v>6</v>
      </c>
      <c r="C27" s="6" t="s">
        <v>7</v>
      </c>
      <c r="D27" s="6" t="s">
        <v>8</v>
      </c>
      <c r="E27" s="6" t="s">
        <v>9</v>
      </c>
      <c r="F27" s="6" t="s">
        <v>10</v>
      </c>
      <c r="G27" s="6" t="s">
        <v>11</v>
      </c>
    </row>
    <row r="28" ht="17.25" customHeight="1">
      <c r="A28" s="5" t="s">
        <v>50</v>
      </c>
      <c r="B28" s="5" t="s">
        <v>51</v>
      </c>
      <c r="C28" s="2">
        <v>2.0</v>
      </c>
      <c r="D28" s="5" t="s">
        <v>15</v>
      </c>
      <c r="E28" s="5" t="s">
        <v>15</v>
      </c>
      <c r="F28" s="5" t="s">
        <v>52</v>
      </c>
    </row>
    <row r="29" ht="17.25" customHeight="1">
      <c r="A29" s="5" t="s">
        <v>53</v>
      </c>
      <c r="B29" s="5" t="s">
        <v>54</v>
      </c>
      <c r="C29" s="2">
        <v>1.0</v>
      </c>
      <c r="D29" s="5" t="s">
        <v>15</v>
      </c>
      <c r="E29" s="5" t="s">
        <v>15</v>
      </c>
      <c r="F29" s="5" t="s">
        <v>55</v>
      </c>
    </row>
    <row r="30" ht="17.25" customHeight="1">
      <c r="A30" s="5" t="s">
        <v>56</v>
      </c>
      <c r="B30" s="5" t="s">
        <v>57</v>
      </c>
      <c r="C30" s="2">
        <v>1.5</v>
      </c>
      <c r="D30" s="5" t="s">
        <v>15</v>
      </c>
      <c r="E30" s="5" t="s">
        <v>15</v>
      </c>
    </row>
    <row r="31" ht="17.25" customHeight="1">
      <c r="A31" s="5" t="s">
        <v>58</v>
      </c>
      <c r="B31" s="5" t="s">
        <v>59</v>
      </c>
      <c r="C31" s="2">
        <v>0.224</v>
      </c>
      <c r="D31" s="5" t="s">
        <v>23</v>
      </c>
      <c r="E31" s="5" t="s">
        <v>15</v>
      </c>
      <c r="G31" s="5" t="s">
        <v>60</v>
      </c>
    </row>
    <row r="32" ht="17.25" customHeight="1">
      <c r="A32" s="5" t="s">
        <v>61</v>
      </c>
      <c r="B32" s="5" t="s">
        <v>62</v>
      </c>
      <c r="C32" s="8">
        <f>(C23/2)*C30</f>
        <v>1997.110745</v>
      </c>
      <c r="D32" s="5" t="s">
        <v>35</v>
      </c>
      <c r="E32" s="9"/>
      <c r="F32" s="5" t="s">
        <v>63</v>
      </c>
    </row>
    <row r="33" ht="17.25" customHeight="1">
      <c r="A33" s="5" t="s">
        <v>64</v>
      </c>
      <c r="B33" s="5" t="s">
        <v>65</v>
      </c>
      <c r="C33" s="8">
        <f>C32*C31*(2/C28)</f>
        <v>447.3528068</v>
      </c>
      <c r="D33" s="5" t="s">
        <v>66</v>
      </c>
      <c r="E33" s="9"/>
      <c r="F33" s="5" t="s">
        <v>67</v>
      </c>
    </row>
    <row r="34" ht="17.25" customHeight="1">
      <c r="A34" s="5" t="s">
        <v>68</v>
      </c>
      <c r="B34" s="5" t="s">
        <v>69</v>
      </c>
      <c r="C34" s="8">
        <f>(C24/2)*C30</f>
        <v>357.2892554</v>
      </c>
      <c r="D34" s="5" t="s">
        <v>35</v>
      </c>
      <c r="E34" s="10" t="s">
        <v>70</v>
      </c>
      <c r="F34" s="5" t="s">
        <v>71</v>
      </c>
    </row>
    <row r="35" ht="17.25" customHeight="1">
      <c r="A35" s="5" t="s">
        <v>72</v>
      </c>
      <c r="B35" s="5" t="s">
        <v>73</v>
      </c>
      <c r="C35" s="8">
        <f>C34*C31*(2/C29)</f>
        <v>160.0655864</v>
      </c>
      <c r="D35" s="5" t="s">
        <v>66</v>
      </c>
      <c r="E35" s="10" t="s">
        <v>70</v>
      </c>
      <c r="F35" s="5" t="s">
        <v>74</v>
      </c>
    </row>
    <row r="36" ht="17.25" customHeight="1"/>
    <row r="37" ht="17.25" customHeight="1">
      <c r="A37" s="6" t="s">
        <v>75</v>
      </c>
    </row>
    <row r="38" ht="17.25" customHeight="1">
      <c r="A38" s="6" t="s">
        <v>5</v>
      </c>
      <c r="B38" s="6" t="s">
        <v>6</v>
      </c>
      <c r="C38" s="6" t="s">
        <v>7</v>
      </c>
      <c r="D38" s="6" t="s">
        <v>8</v>
      </c>
      <c r="E38" s="6" t="s">
        <v>9</v>
      </c>
      <c r="F38" s="6" t="s">
        <v>10</v>
      </c>
      <c r="G38" s="6" t="s">
        <v>11</v>
      </c>
    </row>
    <row r="39" ht="17.25" customHeight="1">
      <c r="A39" s="5" t="s">
        <v>76</v>
      </c>
      <c r="B39" s="5" t="s">
        <v>77</v>
      </c>
      <c r="C39" s="2">
        <v>0.0885</v>
      </c>
      <c r="D39" s="5" t="s">
        <v>23</v>
      </c>
      <c r="E39" s="5" t="s">
        <v>15</v>
      </c>
      <c r="F39" s="5" t="s">
        <v>78</v>
      </c>
      <c r="G39" s="5" t="s">
        <v>79</v>
      </c>
      <c r="R39" s="5" t="s">
        <v>80</v>
      </c>
    </row>
    <row r="40" ht="17.25" customHeight="1">
      <c r="A40" s="5" t="s">
        <v>81</v>
      </c>
      <c r="B40" s="5" t="s">
        <v>82</v>
      </c>
      <c r="C40" s="2">
        <v>0.48</v>
      </c>
      <c r="D40" s="5" t="s">
        <v>15</v>
      </c>
      <c r="E40" s="5" t="s">
        <v>15</v>
      </c>
      <c r="F40" s="5" t="s">
        <v>83</v>
      </c>
      <c r="G40" s="11" t="s">
        <v>84</v>
      </c>
      <c r="H40" s="5" t="s">
        <v>85</v>
      </c>
      <c r="R40" s="12">
        <f>(PI()*(15.875/2)^2)</f>
        <v>197.932609</v>
      </c>
      <c r="S40" s="13" t="s">
        <v>86</v>
      </c>
    </row>
    <row r="41" ht="17.25" customHeight="1">
      <c r="A41" s="5" t="s">
        <v>87</v>
      </c>
      <c r="B41" s="5" t="s">
        <v>88</v>
      </c>
      <c r="C41" s="2">
        <v>793.55</v>
      </c>
      <c r="D41" s="5" t="s">
        <v>89</v>
      </c>
      <c r="E41" s="5" t="s">
        <v>15</v>
      </c>
      <c r="F41" s="5" t="s">
        <v>90</v>
      </c>
      <c r="G41" s="11" t="s">
        <v>91</v>
      </c>
      <c r="R41" s="12">
        <f>PI()*(19.05/2)^2</f>
        <v>285.022957</v>
      </c>
      <c r="S41" s="13" t="s">
        <v>92</v>
      </c>
    </row>
    <row r="42" ht="17.25" customHeight="1">
      <c r="A42" s="5" t="s">
        <v>93</v>
      </c>
      <c r="B42" s="5" t="s">
        <v>94</v>
      </c>
      <c r="C42" s="8">
        <f>C33/(2*C40*C39)</f>
        <v>5265.452057</v>
      </c>
      <c r="D42" s="5" t="s">
        <v>35</v>
      </c>
      <c r="E42" s="9"/>
      <c r="F42" s="5" t="s">
        <v>95</v>
      </c>
    </row>
    <row r="43" ht="17.25" customHeight="1">
      <c r="A43" s="5" t="s">
        <v>96</v>
      </c>
      <c r="B43" s="5" t="s">
        <v>97</v>
      </c>
      <c r="C43" s="8">
        <f>C42/C41</f>
        <v>6.635312277</v>
      </c>
      <c r="D43" s="5" t="s">
        <v>98</v>
      </c>
      <c r="E43" s="9"/>
      <c r="F43" s="5" t="s">
        <v>99</v>
      </c>
    </row>
    <row r="44" ht="17.25" customHeight="1">
      <c r="A44" s="5" t="s">
        <v>100</v>
      </c>
      <c r="B44" s="5" t="s">
        <v>101</v>
      </c>
      <c r="C44" s="8">
        <f>C35/(C40*C39)</f>
        <v>3768.022279</v>
      </c>
      <c r="D44" s="5" t="s">
        <v>35</v>
      </c>
      <c r="E44" s="10" t="s">
        <v>70</v>
      </c>
      <c r="F44" s="5" t="s">
        <v>102</v>
      </c>
    </row>
    <row r="45" ht="17.25" customHeight="1">
      <c r="A45" s="5" t="s">
        <v>103</v>
      </c>
      <c r="B45" s="5" t="s">
        <v>104</v>
      </c>
      <c r="C45" s="8">
        <f>C44/C41</f>
        <v>4.748311107</v>
      </c>
      <c r="D45" s="5" t="s">
        <v>98</v>
      </c>
      <c r="E45" s="10" t="s">
        <v>70</v>
      </c>
      <c r="F45" s="5" t="s">
        <v>99</v>
      </c>
    </row>
    <row r="46" ht="17.25" customHeight="1"/>
    <row r="47" ht="17.25" customHeight="1">
      <c r="A47" s="6" t="s">
        <v>105</v>
      </c>
      <c r="C47" s="6"/>
    </row>
    <row r="48" ht="17.25" customHeight="1">
      <c r="A48" s="6" t="s">
        <v>5</v>
      </c>
      <c r="B48" s="6" t="s">
        <v>6</v>
      </c>
      <c r="C48" s="6" t="s">
        <v>7</v>
      </c>
      <c r="D48" s="6" t="s">
        <v>8</v>
      </c>
      <c r="E48" s="6" t="s">
        <v>9</v>
      </c>
      <c r="F48" s="6" t="s">
        <v>10</v>
      </c>
      <c r="G48" s="6" t="s">
        <v>11</v>
      </c>
    </row>
    <row r="49" ht="17.25" customHeight="1">
      <c r="A49" s="5" t="s">
        <v>106</v>
      </c>
      <c r="B49" s="5"/>
      <c r="C49" s="14" t="s">
        <v>208</v>
      </c>
      <c r="D49" s="5" t="s">
        <v>108</v>
      </c>
      <c r="E49" s="5"/>
      <c r="F49" s="5" t="s">
        <v>109</v>
      </c>
      <c r="G49" s="5"/>
      <c r="H49" s="5"/>
    </row>
    <row r="50" ht="17.25" customHeight="1">
      <c r="A50" s="5" t="s">
        <v>110</v>
      </c>
      <c r="B50" s="5"/>
      <c r="C50" s="14" t="s">
        <v>107</v>
      </c>
      <c r="D50" s="5" t="s">
        <v>108</v>
      </c>
      <c r="E50" s="5"/>
      <c r="F50" s="5" t="s">
        <v>111</v>
      </c>
      <c r="G50" s="5"/>
      <c r="H50" s="5"/>
    </row>
    <row r="51" ht="17.25" customHeight="1">
      <c r="A51" s="15" t="s">
        <v>112</v>
      </c>
      <c r="B51" s="5"/>
      <c r="C51" s="16">
        <f t="shared" ref="C51:C52" si="1">C49*25.4</f>
        <v>17.78</v>
      </c>
      <c r="D51" s="5" t="s">
        <v>113</v>
      </c>
      <c r="E51" s="5"/>
      <c r="F51" s="5"/>
      <c r="G51" s="5"/>
      <c r="H51" s="5"/>
    </row>
    <row r="52" ht="17.25" customHeight="1">
      <c r="A52" s="15" t="s">
        <v>114</v>
      </c>
      <c r="B52" s="5"/>
      <c r="C52" s="16">
        <f t="shared" si="1"/>
        <v>15.875</v>
      </c>
      <c r="D52" s="5" t="s">
        <v>113</v>
      </c>
      <c r="E52" s="5"/>
      <c r="F52" s="5"/>
      <c r="G52" s="5"/>
      <c r="H52" s="5"/>
    </row>
    <row r="53" ht="17.25" customHeight="1">
      <c r="A53" s="5" t="s">
        <v>115</v>
      </c>
      <c r="B53" s="5" t="s">
        <v>116</v>
      </c>
      <c r="C53" s="17">
        <f t="shared" ref="C53:C54" si="2">(PI()*(C51/2)^2)</f>
        <v>248.2866648</v>
      </c>
      <c r="D53" s="5" t="s">
        <v>89</v>
      </c>
      <c r="E53" s="5" t="s">
        <v>15</v>
      </c>
      <c r="F53" s="5" t="s">
        <v>117</v>
      </c>
      <c r="H53" s="18" t="s">
        <v>118</v>
      </c>
    </row>
    <row r="54" ht="17.25" customHeight="1">
      <c r="A54" s="5" t="s">
        <v>119</v>
      </c>
      <c r="B54" s="5" t="s">
        <v>120</v>
      </c>
      <c r="C54" s="17">
        <f t="shared" si="2"/>
        <v>197.932609</v>
      </c>
      <c r="D54" s="5" t="s">
        <v>89</v>
      </c>
      <c r="E54" s="5" t="s">
        <v>15</v>
      </c>
      <c r="F54" s="5" t="s">
        <v>117</v>
      </c>
    </row>
    <row r="55" ht="17.25" customHeight="1">
      <c r="A55" s="5" t="s">
        <v>121</v>
      </c>
      <c r="B55" s="5" t="s">
        <v>122</v>
      </c>
      <c r="C55" s="17">
        <v>6.0</v>
      </c>
      <c r="D55" s="10" t="s">
        <v>123</v>
      </c>
      <c r="F55" s="5" t="s">
        <v>124</v>
      </c>
    </row>
    <row r="56" ht="17.25" customHeight="1">
      <c r="A56" s="5" t="s">
        <v>125</v>
      </c>
      <c r="B56" s="5" t="s">
        <v>126</v>
      </c>
      <c r="C56" s="2">
        <v>0.64</v>
      </c>
      <c r="D56" s="10" t="s">
        <v>127</v>
      </c>
      <c r="E56" s="5" t="s">
        <v>15</v>
      </c>
      <c r="F56" s="5" t="s">
        <v>128</v>
      </c>
    </row>
    <row r="57" ht="17.25" customHeight="1">
      <c r="A57" s="5" t="s">
        <v>129</v>
      </c>
      <c r="B57" s="5" t="s">
        <v>130</v>
      </c>
      <c r="C57" s="2">
        <v>0.36</v>
      </c>
      <c r="D57" s="10" t="s">
        <v>127</v>
      </c>
      <c r="E57" s="5" t="s">
        <v>15</v>
      </c>
      <c r="F57" s="5" t="s">
        <v>131</v>
      </c>
    </row>
    <row r="58" ht="17.25" customHeight="1">
      <c r="A58" s="5" t="s">
        <v>132</v>
      </c>
      <c r="B58" s="5" t="s">
        <v>133</v>
      </c>
      <c r="C58" s="2">
        <v>400.0</v>
      </c>
      <c r="D58" s="5" t="s">
        <v>35</v>
      </c>
      <c r="E58" s="5" t="s">
        <v>15</v>
      </c>
      <c r="F58" s="5" t="s">
        <v>134</v>
      </c>
    </row>
    <row r="59" ht="17.25" customHeight="1">
      <c r="A59" s="5" t="s">
        <v>135</v>
      </c>
      <c r="B59" s="5" t="s">
        <v>136</v>
      </c>
      <c r="C59" s="8">
        <f>C43*C53</f>
        <v>1647.459555</v>
      </c>
      <c r="D59" s="5" t="s">
        <v>35</v>
      </c>
      <c r="E59" s="9"/>
      <c r="F59" s="5" t="s">
        <v>137</v>
      </c>
    </row>
    <row r="60" ht="17.25" customHeight="1">
      <c r="A60" s="5" t="s">
        <v>138</v>
      </c>
      <c r="B60" s="5" t="s">
        <v>139</v>
      </c>
      <c r="C60" s="8">
        <f>C45*C54</f>
        <v>939.8456059</v>
      </c>
      <c r="D60" s="5" t="s">
        <v>35</v>
      </c>
      <c r="E60" s="10" t="s">
        <v>70</v>
      </c>
      <c r="F60" s="5" t="s">
        <v>140</v>
      </c>
    </row>
    <row r="61" ht="17.25" customHeight="1">
      <c r="A61" s="5" t="s">
        <v>141</v>
      </c>
      <c r="B61" s="5" t="s">
        <v>142</v>
      </c>
      <c r="C61" s="8">
        <f t="shared" ref="C61:C62" si="3">C59/C56</f>
        <v>2574.155554</v>
      </c>
      <c r="D61" s="5" t="s">
        <v>35</v>
      </c>
      <c r="E61" s="9"/>
      <c r="F61" s="5" t="s">
        <v>143</v>
      </c>
    </row>
    <row r="62" ht="17.25" customHeight="1">
      <c r="A62" s="5" t="s">
        <v>144</v>
      </c>
      <c r="B62" s="5" t="s">
        <v>145</v>
      </c>
      <c r="C62" s="8">
        <f t="shared" si="3"/>
        <v>2610.682239</v>
      </c>
      <c r="D62" s="5" t="s">
        <v>35</v>
      </c>
      <c r="E62" s="10" t="s">
        <v>70</v>
      </c>
      <c r="F62" s="5" t="s">
        <v>146</v>
      </c>
    </row>
    <row r="63" ht="17.25" customHeight="1">
      <c r="A63" s="5" t="s">
        <v>147</v>
      </c>
      <c r="B63" s="5" t="s">
        <v>148</v>
      </c>
      <c r="C63" s="8">
        <f>C58*C55</f>
        <v>2400</v>
      </c>
      <c r="D63" s="5" t="s">
        <v>35</v>
      </c>
      <c r="E63" s="19" t="s">
        <v>149</v>
      </c>
      <c r="F63" s="5" t="s">
        <v>150</v>
      </c>
    </row>
    <row r="64" ht="17.25" customHeight="1">
      <c r="A64" s="5"/>
    </row>
    <row r="65" ht="17.25" customHeight="1">
      <c r="A65" s="5" t="s">
        <v>151</v>
      </c>
      <c r="B65" s="5" t="s">
        <v>15</v>
      </c>
      <c r="C65" s="8" t="b">
        <f>C63&gt;C61</f>
        <v>0</v>
      </c>
      <c r="D65" s="5" t="s">
        <v>15</v>
      </c>
      <c r="E65" s="19" t="s">
        <v>152</v>
      </c>
      <c r="F65" s="5" t="s">
        <v>153</v>
      </c>
    </row>
    <row r="66" ht="17.25" customHeight="1">
      <c r="A66" s="5" t="s">
        <v>154</v>
      </c>
      <c r="B66" s="5" t="s">
        <v>15</v>
      </c>
      <c r="C66" s="8" t="b">
        <f>C63&gt;C62</f>
        <v>0</v>
      </c>
      <c r="D66" s="5" t="s">
        <v>15</v>
      </c>
      <c r="E66" s="19" t="s">
        <v>155</v>
      </c>
      <c r="F66" s="5" t="s">
        <v>156</v>
      </c>
    </row>
    <row r="67" ht="17.25" customHeight="1"/>
    <row r="68" ht="17.25" customHeight="1"/>
    <row r="69" ht="17.25" customHeight="1">
      <c r="A69" s="6" t="s">
        <v>157</v>
      </c>
    </row>
    <row r="70" ht="17.25" customHeight="1">
      <c r="A70" s="6" t="s">
        <v>5</v>
      </c>
      <c r="B70" s="6" t="s">
        <v>6</v>
      </c>
      <c r="C70" s="6" t="s">
        <v>7</v>
      </c>
      <c r="D70" s="6" t="s">
        <v>8</v>
      </c>
      <c r="E70" s="6" t="s">
        <v>9</v>
      </c>
      <c r="F70" s="6" t="s">
        <v>10</v>
      </c>
      <c r="G70" s="6" t="s">
        <v>11</v>
      </c>
    </row>
    <row r="71" ht="17.25" customHeight="1">
      <c r="A71" s="5" t="s">
        <v>158</v>
      </c>
      <c r="B71" s="5" t="s">
        <v>51</v>
      </c>
      <c r="C71" s="3">
        <f t="shared" ref="C71:C72" si="4">C28</f>
        <v>2</v>
      </c>
      <c r="D71" s="5" t="s">
        <v>15</v>
      </c>
      <c r="E71" s="5" t="s">
        <v>15</v>
      </c>
      <c r="F71" s="5" t="s">
        <v>52</v>
      </c>
    </row>
    <row r="72" ht="17.25" customHeight="1">
      <c r="A72" s="5" t="s">
        <v>159</v>
      </c>
      <c r="B72" s="5" t="s">
        <v>54</v>
      </c>
      <c r="C72" s="3">
        <f t="shared" si="4"/>
        <v>1</v>
      </c>
      <c r="D72" s="5" t="s">
        <v>15</v>
      </c>
      <c r="E72" s="5" t="s">
        <v>15</v>
      </c>
      <c r="F72" s="5" t="s">
        <v>160</v>
      </c>
    </row>
    <row r="73" ht="17.25" customHeight="1">
      <c r="A73" s="5" t="s">
        <v>161</v>
      </c>
      <c r="B73" s="5" t="s">
        <v>162</v>
      </c>
      <c r="C73" s="2">
        <v>2.0</v>
      </c>
      <c r="D73" s="5" t="s">
        <v>15</v>
      </c>
      <c r="E73" s="5" t="s">
        <v>15</v>
      </c>
      <c r="F73" s="20" t="s">
        <v>163</v>
      </c>
    </row>
    <row r="74" ht="17.25" customHeight="1">
      <c r="A74" s="5" t="s">
        <v>164</v>
      </c>
      <c r="B74" s="5" t="s">
        <v>165</v>
      </c>
      <c r="C74" s="2">
        <v>792.0</v>
      </c>
      <c r="D74" s="5" t="s">
        <v>89</v>
      </c>
      <c r="E74" s="5" t="s">
        <v>15</v>
      </c>
      <c r="F74" s="20" t="s">
        <v>166</v>
      </c>
    </row>
    <row r="75" ht="17.25" customHeight="1">
      <c r="A75" s="5" t="s">
        <v>167</v>
      </c>
      <c r="B75" s="5" t="s">
        <v>168</v>
      </c>
      <c r="C75" s="2">
        <v>1.2</v>
      </c>
      <c r="D75" s="5" t="s">
        <v>113</v>
      </c>
      <c r="E75" s="5" t="s">
        <v>15</v>
      </c>
      <c r="F75" s="5" t="s">
        <v>169</v>
      </c>
    </row>
    <row r="76" ht="17.25" customHeight="1">
      <c r="A76" s="5" t="s">
        <v>170</v>
      </c>
      <c r="B76" s="5" t="s">
        <v>171</v>
      </c>
      <c r="C76" s="8">
        <f>C71*C73*C74</f>
        <v>3168</v>
      </c>
      <c r="D76" s="5" t="s">
        <v>89</v>
      </c>
    </row>
    <row r="77" ht="17.25" customHeight="1">
      <c r="A77" s="5" t="s">
        <v>172</v>
      </c>
      <c r="B77" s="5" t="s">
        <v>173</v>
      </c>
      <c r="C77" s="8">
        <f>C72*C73*C74</f>
        <v>1584</v>
      </c>
      <c r="D77" s="5" t="s">
        <v>89</v>
      </c>
    </row>
    <row r="78" ht="17.25" customHeight="1">
      <c r="A78" s="5" t="s">
        <v>174</v>
      </c>
      <c r="B78" s="5" t="s">
        <v>175</v>
      </c>
      <c r="C78" s="8">
        <f>C76*C75</f>
        <v>3801.6</v>
      </c>
      <c r="D78" s="5" t="s">
        <v>176</v>
      </c>
    </row>
    <row r="79" ht="17.25" customHeight="1">
      <c r="A79" s="5" t="s">
        <v>177</v>
      </c>
      <c r="B79" s="5" t="s">
        <v>178</v>
      </c>
      <c r="C79" s="8">
        <f>C77*C75</f>
        <v>1900.8</v>
      </c>
      <c r="D79" s="5" t="s">
        <v>176</v>
      </c>
    </row>
    <row r="80" ht="17.25" customHeight="1">
      <c r="A80" s="5" t="s">
        <v>179</v>
      </c>
      <c r="C80" s="2">
        <v>27.94</v>
      </c>
      <c r="D80" s="5" t="s">
        <v>113</v>
      </c>
      <c r="E80" s="5" t="s">
        <v>15</v>
      </c>
      <c r="F80" s="5" t="s">
        <v>209</v>
      </c>
    </row>
    <row r="81" ht="17.25" customHeight="1">
      <c r="A81" s="5" t="s">
        <v>210</v>
      </c>
      <c r="B81" s="5" t="s">
        <v>182</v>
      </c>
      <c r="C81" s="8">
        <f t="shared" ref="C81:C82" si="5">C78/C53</f>
        <v>15.31133379</v>
      </c>
      <c r="D81" s="5" t="s">
        <v>113</v>
      </c>
      <c r="E81" s="5" t="s">
        <v>183</v>
      </c>
      <c r="F81" s="5" t="s">
        <v>184</v>
      </c>
    </row>
    <row r="82" ht="17.25" customHeight="1">
      <c r="A82" s="5" t="s">
        <v>211</v>
      </c>
      <c r="B82" s="5" t="s">
        <v>186</v>
      </c>
      <c r="C82" s="8">
        <f t="shared" si="5"/>
        <v>9.603268554</v>
      </c>
      <c r="D82" s="5" t="s">
        <v>113</v>
      </c>
      <c r="E82" s="5" t="s">
        <v>183</v>
      </c>
      <c r="F82" s="5" t="s">
        <v>187</v>
      </c>
    </row>
    <row r="83" ht="17.25" customHeight="1">
      <c r="A83" s="5" t="s">
        <v>212</v>
      </c>
      <c r="B83" s="5" t="s">
        <v>213</v>
      </c>
      <c r="C83" s="8">
        <f>(C81+C82)/2</f>
        <v>12.45730117</v>
      </c>
      <c r="D83" s="5" t="s">
        <v>113</v>
      </c>
    </row>
    <row r="84" ht="17.25" customHeight="1">
      <c r="A84" s="5" t="s">
        <v>157</v>
      </c>
      <c r="B84" s="5" t="s">
        <v>195</v>
      </c>
      <c r="C84" s="8">
        <f>C83*C55</f>
        <v>74.74380703</v>
      </c>
      <c r="D84" s="5" t="s">
        <v>113</v>
      </c>
      <c r="E84" s="5" t="s">
        <v>214</v>
      </c>
      <c r="F84" s="5" t="s">
        <v>215</v>
      </c>
    </row>
    <row r="85" ht="17.25" customHeight="1">
      <c r="A85" s="5"/>
      <c r="B85" s="5"/>
    </row>
    <row r="86" ht="17.25" customHeight="1">
      <c r="A86" s="5"/>
      <c r="B86" s="5"/>
    </row>
    <row r="87" ht="17.25" customHeight="1">
      <c r="A87" s="5"/>
      <c r="B87" s="5"/>
    </row>
    <row r="88" ht="17.25" customHeight="1">
      <c r="A88" s="6" t="s">
        <v>201</v>
      </c>
      <c r="B88" s="20"/>
    </row>
    <row r="89" ht="17.25" customHeight="1">
      <c r="A89" s="5" t="s">
        <v>202</v>
      </c>
      <c r="B89" s="20"/>
    </row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</sheetData>
  <mergeCells count="1">
    <mergeCell ref="G14:G15"/>
  </mergeCells>
  <hyperlinks>
    <hyperlink r:id="rId1" location="heading=h.q1x5qcbvplu6" ref="G14"/>
    <hyperlink r:id="rId2" ref="G40"/>
    <hyperlink r:id="rId3" ref="G41"/>
    <hyperlink r:id="rId4" ref="H53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  <col customWidth="1" min="5" max="5" width="18.0"/>
    <col customWidth="1" min="6" max="6" width="29.75"/>
    <col customWidth="1" min="10" max="10" width="17.25"/>
  </cols>
  <sheetData>
    <row r="1">
      <c r="A1" s="1" t="s">
        <v>216</v>
      </c>
    </row>
    <row r="2" ht="17.25" customHeight="1">
      <c r="A2" s="5" t="s">
        <v>203</v>
      </c>
      <c r="B2" s="5" t="s">
        <v>204</v>
      </c>
      <c r="F2" s="2" t="s">
        <v>1</v>
      </c>
    </row>
    <row r="3" ht="17.25" customHeight="1">
      <c r="A3" s="5" t="s">
        <v>205</v>
      </c>
      <c r="B3" s="5" t="s">
        <v>206</v>
      </c>
      <c r="F3" s="3" t="s">
        <v>2</v>
      </c>
    </row>
    <row r="4" ht="17.25" customHeight="1">
      <c r="F4" s="4" t="s">
        <v>3</v>
      </c>
    </row>
    <row r="5" ht="17.25" customHeight="1">
      <c r="E5" s="5"/>
    </row>
    <row r="6" ht="17.25" customHeight="1">
      <c r="A6" s="6" t="s">
        <v>4</v>
      </c>
    </row>
    <row r="7" ht="17.25" customHeight="1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</row>
    <row r="8" ht="17.25" customHeight="1">
      <c r="A8" s="5" t="s">
        <v>12</v>
      </c>
      <c r="B8" s="5" t="s">
        <v>13</v>
      </c>
      <c r="C8" s="5">
        <v>9.81</v>
      </c>
      <c r="D8" s="5" t="s">
        <v>14</v>
      </c>
      <c r="E8" s="5" t="s">
        <v>15</v>
      </c>
    </row>
    <row r="9" ht="17.25" customHeight="1"/>
    <row r="10" ht="17.25" customHeight="1"/>
    <row r="11" ht="17.25" customHeight="1">
      <c r="A11" s="6" t="s">
        <v>16</v>
      </c>
    </row>
    <row r="12" ht="17.25" customHeight="1">
      <c r="A12" s="6" t="s">
        <v>5</v>
      </c>
      <c r="B12" s="6" t="s">
        <v>6</v>
      </c>
      <c r="C12" s="6" t="s">
        <v>7</v>
      </c>
      <c r="D12" s="6" t="s">
        <v>8</v>
      </c>
      <c r="E12" s="6" t="s">
        <v>9</v>
      </c>
      <c r="F12" s="6" t="s">
        <v>10</v>
      </c>
      <c r="G12" s="6" t="s">
        <v>11</v>
      </c>
    </row>
    <row r="13" ht="17.25" customHeight="1">
      <c r="A13" s="5" t="s">
        <v>17</v>
      </c>
      <c r="B13" s="5" t="s">
        <v>18</v>
      </c>
      <c r="C13" s="2">
        <v>317.5</v>
      </c>
      <c r="D13" s="5" t="s">
        <v>19</v>
      </c>
      <c r="E13" s="5" t="s">
        <v>15</v>
      </c>
      <c r="F13" s="5" t="s">
        <v>20</v>
      </c>
    </row>
    <row r="14" ht="17.25" customHeight="1">
      <c r="A14" s="5" t="s">
        <v>21</v>
      </c>
      <c r="B14" s="5" t="s">
        <v>22</v>
      </c>
      <c r="C14" s="21"/>
      <c r="D14" s="5" t="s">
        <v>23</v>
      </c>
      <c r="E14" s="5" t="s">
        <v>15</v>
      </c>
      <c r="F14" s="5" t="s">
        <v>24</v>
      </c>
    </row>
    <row r="15" ht="17.25" customHeight="1">
      <c r="A15" s="5" t="s">
        <v>26</v>
      </c>
      <c r="B15" s="5" t="s">
        <v>27</v>
      </c>
      <c r="C15" s="21"/>
      <c r="D15" s="5" t="s">
        <v>23</v>
      </c>
      <c r="E15" s="5" t="s">
        <v>15</v>
      </c>
      <c r="F15" s="5" t="s">
        <v>28</v>
      </c>
    </row>
    <row r="16" ht="17.25" customHeight="1">
      <c r="A16" s="5" t="s">
        <v>29</v>
      </c>
      <c r="B16" s="5" t="s">
        <v>30</v>
      </c>
      <c r="C16" s="2">
        <v>1.5</v>
      </c>
      <c r="D16" s="5" t="s">
        <v>31</v>
      </c>
      <c r="F16" s="5" t="s">
        <v>32</v>
      </c>
    </row>
    <row r="17" ht="17.25" customHeight="1">
      <c r="A17" s="5" t="s">
        <v>33</v>
      </c>
      <c r="B17" s="5" t="s">
        <v>34</v>
      </c>
      <c r="C17" s="8">
        <f>C13*C8</f>
        <v>3114.675</v>
      </c>
      <c r="D17" s="5" t="s">
        <v>35</v>
      </c>
      <c r="E17" s="9"/>
    </row>
    <row r="18" ht="17.25" customHeight="1">
      <c r="A18" s="5" t="s">
        <v>36</v>
      </c>
      <c r="B18" s="5" t="s">
        <v>37</v>
      </c>
      <c r="C18" s="8" t="str">
        <f>(C17*C16*C14)/(C15)</f>
        <v>#DIV/0!</v>
      </c>
      <c r="D18" s="5" t="s">
        <v>35</v>
      </c>
      <c r="E18" s="9"/>
    </row>
    <row r="19" ht="17.25" customHeight="1">
      <c r="A19" s="4" t="s">
        <v>43</v>
      </c>
      <c r="B19" s="22"/>
      <c r="C19" s="22"/>
      <c r="D19" s="22"/>
      <c r="E19" s="22"/>
      <c r="F19" s="4" t="s">
        <v>217</v>
      </c>
    </row>
    <row r="20" ht="17.25" customHeight="1">
      <c r="A20" s="4" t="s">
        <v>44</v>
      </c>
      <c r="B20" s="22"/>
      <c r="C20" s="22"/>
      <c r="D20" s="22"/>
      <c r="E20" s="22"/>
      <c r="F20" s="4" t="s">
        <v>218</v>
      </c>
    </row>
    <row r="21" ht="17.25" customHeight="1">
      <c r="A21" s="5" t="s">
        <v>219</v>
      </c>
      <c r="B21" s="5" t="s">
        <v>46</v>
      </c>
      <c r="C21" s="8" t="str">
        <f>C19+C18</f>
        <v>#DIV/0!</v>
      </c>
      <c r="D21" s="5" t="s">
        <v>35</v>
      </c>
      <c r="E21" s="9"/>
    </row>
    <row r="22" ht="17.25" customHeight="1">
      <c r="A22" s="5" t="s">
        <v>220</v>
      </c>
      <c r="B22" s="5" t="s">
        <v>48</v>
      </c>
      <c r="C22" s="8" t="str">
        <f>C20-C18</f>
        <v>#DIV/0!</v>
      </c>
      <c r="D22" s="5" t="s">
        <v>35</v>
      </c>
      <c r="E22" s="9"/>
    </row>
    <row r="23" ht="17.25" customHeight="1"/>
    <row r="24" ht="17.25" customHeight="1">
      <c r="A24" s="6" t="s">
        <v>49</v>
      </c>
    </row>
    <row r="25" ht="17.25" customHeight="1">
      <c r="A25" s="6" t="s">
        <v>5</v>
      </c>
      <c r="B25" s="6" t="s">
        <v>6</v>
      </c>
      <c r="C25" s="6" t="s">
        <v>7</v>
      </c>
      <c r="D25" s="6" t="s">
        <v>8</v>
      </c>
      <c r="E25" s="6" t="s">
        <v>9</v>
      </c>
      <c r="F25" s="6" t="s">
        <v>10</v>
      </c>
      <c r="G25" s="6" t="s">
        <v>11</v>
      </c>
    </row>
    <row r="26" ht="17.25" customHeight="1">
      <c r="A26" s="5" t="s">
        <v>56</v>
      </c>
      <c r="B26" s="5" t="s">
        <v>57</v>
      </c>
      <c r="C26" s="2">
        <v>1.5</v>
      </c>
      <c r="D26" s="5" t="s">
        <v>15</v>
      </c>
      <c r="E26" s="5" t="s">
        <v>15</v>
      </c>
      <c r="F26" s="23"/>
    </row>
    <row r="27" ht="17.25" customHeight="1">
      <c r="A27" s="5" t="s">
        <v>58</v>
      </c>
      <c r="B27" s="5" t="s">
        <v>59</v>
      </c>
      <c r="C27" s="2">
        <v>0.224</v>
      </c>
      <c r="D27" s="5" t="s">
        <v>23</v>
      </c>
      <c r="E27" s="5" t="s">
        <v>15</v>
      </c>
    </row>
    <row r="28" ht="17.25" customHeight="1">
      <c r="A28" s="5" t="s">
        <v>61</v>
      </c>
      <c r="B28" s="5" t="s">
        <v>62</v>
      </c>
      <c r="C28" s="24">
        <v>1634.64</v>
      </c>
      <c r="D28" s="5" t="s">
        <v>35</v>
      </c>
      <c r="E28" s="9"/>
      <c r="F28" s="5" t="s">
        <v>63</v>
      </c>
    </row>
    <row r="29" ht="17.25" customHeight="1">
      <c r="A29" s="5" t="s">
        <v>64</v>
      </c>
      <c r="B29" s="5" t="s">
        <v>65</v>
      </c>
      <c r="C29" s="3">
        <v>366.1594</v>
      </c>
      <c r="D29" s="5" t="s">
        <v>66</v>
      </c>
      <c r="E29" s="9"/>
      <c r="F29" s="5" t="s">
        <v>221</v>
      </c>
    </row>
    <row r="30" ht="17.25" customHeight="1">
      <c r="A30" s="5" t="s">
        <v>68</v>
      </c>
      <c r="B30" s="5" t="s">
        <v>69</v>
      </c>
      <c r="C30" s="24">
        <v>1401.12</v>
      </c>
      <c r="D30" s="5" t="s">
        <v>35</v>
      </c>
      <c r="E30" s="10" t="s">
        <v>70</v>
      </c>
      <c r="F30" s="5" t="s">
        <v>71</v>
      </c>
    </row>
    <row r="31" ht="17.25" customHeight="1">
      <c r="A31" s="5" t="s">
        <v>72</v>
      </c>
      <c r="B31" s="5" t="s">
        <v>73</v>
      </c>
      <c r="C31" s="25">
        <v>313.851</v>
      </c>
      <c r="D31" s="5" t="s">
        <v>66</v>
      </c>
      <c r="E31" s="10" t="s">
        <v>70</v>
      </c>
      <c r="F31" s="5" t="s">
        <v>222</v>
      </c>
    </row>
    <row r="32" ht="17.25" customHeight="1"/>
    <row r="33" ht="17.25" customHeight="1">
      <c r="A33" s="6" t="s">
        <v>75</v>
      </c>
    </row>
    <row r="34" ht="17.25" customHeight="1">
      <c r="A34" s="6" t="s">
        <v>5</v>
      </c>
      <c r="B34" s="6" t="s">
        <v>6</v>
      </c>
      <c r="C34" s="6" t="s">
        <v>7</v>
      </c>
      <c r="D34" s="6" t="s">
        <v>8</v>
      </c>
      <c r="E34" s="6" t="s">
        <v>9</v>
      </c>
      <c r="F34" s="6" t="s">
        <v>10</v>
      </c>
      <c r="G34" s="6" t="s">
        <v>11</v>
      </c>
    </row>
    <row r="35" ht="17.25" customHeight="1">
      <c r="A35" s="5" t="s">
        <v>76</v>
      </c>
      <c r="B35" s="5" t="s">
        <v>77</v>
      </c>
      <c r="C35" s="2">
        <v>0.0843</v>
      </c>
      <c r="D35" s="5" t="s">
        <v>23</v>
      </c>
      <c r="E35" s="5" t="s">
        <v>15</v>
      </c>
      <c r="F35" s="5" t="s">
        <v>78</v>
      </c>
    </row>
    <row r="36" ht="17.25" customHeight="1">
      <c r="A36" s="5" t="s">
        <v>81</v>
      </c>
      <c r="B36" s="5" t="s">
        <v>82</v>
      </c>
      <c r="C36" s="2">
        <v>0.45</v>
      </c>
      <c r="D36" s="5" t="s">
        <v>15</v>
      </c>
      <c r="E36" s="5" t="s">
        <v>15</v>
      </c>
      <c r="F36" s="5" t="s">
        <v>83</v>
      </c>
    </row>
    <row r="37" ht="17.25" customHeight="1">
      <c r="A37" s="5" t="s">
        <v>87</v>
      </c>
      <c r="B37" s="5" t="s">
        <v>88</v>
      </c>
      <c r="C37" s="2">
        <v>793.55</v>
      </c>
      <c r="D37" s="5" t="s">
        <v>89</v>
      </c>
      <c r="E37" s="5" t="s">
        <v>15</v>
      </c>
      <c r="F37" s="5" t="s">
        <v>90</v>
      </c>
    </row>
    <row r="38" ht="17.25" customHeight="1">
      <c r="A38" s="5" t="s">
        <v>93</v>
      </c>
      <c r="B38" s="5" t="s">
        <v>94</v>
      </c>
      <c r="C38" s="8"/>
      <c r="D38" s="5" t="s">
        <v>35</v>
      </c>
      <c r="E38" s="9"/>
      <c r="F38" s="5" t="s">
        <v>223</v>
      </c>
    </row>
    <row r="39" ht="17.25" customHeight="1">
      <c r="A39" s="5" t="s">
        <v>96</v>
      </c>
      <c r="B39" s="5" t="s">
        <v>97</v>
      </c>
      <c r="C39" s="8"/>
      <c r="D39" s="5" t="s">
        <v>98</v>
      </c>
      <c r="E39" s="9"/>
      <c r="F39" s="5" t="s">
        <v>99</v>
      </c>
    </row>
    <row r="40" ht="17.25" customHeight="1">
      <c r="A40" s="5" t="s">
        <v>100</v>
      </c>
      <c r="B40" s="5" t="s">
        <v>101</v>
      </c>
      <c r="C40" s="8"/>
      <c r="D40" s="5" t="s">
        <v>35</v>
      </c>
      <c r="E40" s="10" t="s">
        <v>70</v>
      </c>
      <c r="F40" s="26" t="s">
        <v>224</v>
      </c>
      <c r="G40" s="27"/>
      <c r="H40" s="27"/>
      <c r="I40" s="27"/>
      <c r="J40" s="27"/>
      <c r="K40" s="27"/>
    </row>
    <row r="41" ht="17.25" customHeight="1">
      <c r="A41" s="5" t="s">
        <v>103</v>
      </c>
      <c r="B41" s="5" t="s">
        <v>104</v>
      </c>
      <c r="C41" s="8"/>
      <c r="D41" s="5" t="s">
        <v>98</v>
      </c>
      <c r="E41" s="10" t="s">
        <v>70</v>
      </c>
      <c r="F41" s="5" t="s">
        <v>99</v>
      </c>
    </row>
    <row r="42" ht="17.25" customHeight="1"/>
    <row r="43" ht="17.25" customHeight="1">
      <c r="A43" s="6" t="s">
        <v>105</v>
      </c>
      <c r="C43" s="6"/>
    </row>
    <row r="44" ht="17.25" customHeight="1">
      <c r="A44" s="6" t="s">
        <v>5</v>
      </c>
      <c r="B44" s="6" t="s">
        <v>6</v>
      </c>
      <c r="C44" s="6" t="s">
        <v>7</v>
      </c>
      <c r="D44" s="6" t="s">
        <v>8</v>
      </c>
      <c r="E44" s="6" t="s">
        <v>9</v>
      </c>
      <c r="F44" s="6" t="s">
        <v>10</v>
      </c>
      <c r="G44" s="6" t="s">
        <v>11</v>
      </c>
    </row>
    <row r="45" ht="17.25" customHeight="1">
      <c r="A45" s="5" t="s">
        <v>115</v>
      </c>
      <c r="B45" s="5" t="s">
        <v>116</v>
      </c>
      <c r="C45" s="21"/>
      <c r="D45" s="5" t="s">
        <v>89</v>
      </c>
      <c r="E45" s="5" t="s">
        <v>15</v>
      </c>
      <c r="F45" s="5" t="s">
        <v>117</v>
      </c>
    </row>
    <row r="46" ht="17.25" customHeight="1">
      <c r="A46" s="5" t="s">
        <v>119</v>
      </c>
      <c r="B46" s="5" t="s">
        <v>120</v>
      </c>
      <c r="C46" s="21"/>
      <c r="D46" s="5" t="s">
        <v>89</v>
      </c>
      <c r="E46" s="5" t="s">
        <v>15</v>
      </c>
      <c r="F46" s="5" t="s">
        <v>117</v>
      </c>
    </row>
    <row r="47" ht="17.25" customHeight="1">
      <c r="A47" s="5" t="s">
        <v>121</v>
      </c>
      <c r="B47" s="5" t="s">
        <v>122</v>
      </c>
      <c r="C47" s="21"/>
      <c r="D47" s="10" t="s">
        <v>123</v>
      </c>
      <c r="F47" s="5" t="s">
        <v>124</v>
      </c>
    </row>
    <row r="48" ht="17.25" customHeight="1">
      <c r="A48" s="5" t="s">
        <v>125</v>
      </c>
      <c r="B48" s="5" t="s">
        <v>126</v>
      </c>
      <c r="C48" s="21"/>
      <c r="D48" s="10" t="s">
        <v>127</v>
      </c>
      <c r="E48" s="5" t="s">
        <v>15</v>
      </c>
      <c r="F48" s="5" t="s">
        <v>225</v>
      </c>
    </row>
    <row r="49" ht="17.25" customHeight="1">
      <c r="A49" s="5" t="s">
        <v>129</v>
      </c>
      <c r="B49" s="5" t="s">
        <v>130</v>
      </c>
      <c r="C49" s="21"/>
      <c r="D49" s="10" t="s">
        <v>127</v>
      </c>
      <c r="E49" s="5" t="s">
        <v>15</v>
      </c>
      <c r="F49" s="5" t="s">
        <v>131</v>
      </c>
    </row>
    <row r="50" ht="17.25" customHeight="1">
      <c r="A50" s="5" t="s">
        <v>132</v>
      </c>
      <c r="B50" s="5" t="s">
        <v>133</v>
      </c>
      <c r="C50" s="21"/>
      <c r="D50" s="5" t="s">
        <v>35</v>
      </c>
      <c r="E50" s="5" t="s">
        <v>15</v>
      </c>
      <c r="F50" s="5" t="s">
        <v>134</v>
      </c>
    </row>
    <row r="51" ht="17.25" customHeight="1">
      <c r="A51" s="5" t="s">
        <v>135</v>
      </c>
      <c r="B51" s="5" t="s">
        <v>136</v>
      </c>
      <c r="C51" s="8">
        <f>C39*C45</f>
        <v>0</v>
      </c>
      <c r="D51" s="5" t="s">
        <v>35</v>
      </c>
      <c r="E51" s="9"/>
    </row>
    <row r="52" ht="17.25" customHeight="1">
      <c r="A52" s="5" t="s">
        <v>138</v>
      </c>
      <c r="B52" s="5" t="s">
        <v>139</v>
      </c>
      <c r="C52" s="8">
        <f>C41*C46</f>
        <v>0</v>
      </c>
      <c r="D52" s="5" t="s">
        <v>35</v>
      </c>
      <c r="E52" s="10" t="s">
        <v>70</v>
      </c>
    </row>
    <row r="53" ht="17.25" customHeight="1">
      <c r="A53" s="5" t="s">
        <v>141</v>
      </c>
      <c r="B53" s="5" t="s">
        <v>142</v>
      </c>
      <c r="C53" s="8" t="str">
        <f t="shared" ref="C53:C54" si="1">C51/C48</f>
        <v>#DIV/0!</v>
      </c>
      <c r="D53" s="5" t="s">
        <v>35</v>
      </c>
      <c r="E53" s="9"/>
      <c r="F53" s="5" t="s">
        <v>226</v>
      </c>
    </row>
    <row r="54" ht="17.25" customHeight="1">
      <c r="A54" s="5" t="s">
        <v>144</v>
      </c>
      <c r="B54" s="5" t="s">
        <v>145</v>
      </c>
      <c r="C54" s="8" t="str">
        <f t="shared" si="1"/>
        <v>#DIV/0!</v>
      </c>
      <c r="D54" s="5" t="s">
        <v>35</v>
      </c>
      <c r="E54" s="10" t="s">
        <v>70</v>
      </c>
      <c r="F54" s="5" t="s">
        <v>227</v>
      </c>
    </row>
    <row r="55" ht="17.25" customHeight="1">
      <c r="A55" s="5" t="s">
        <v>147</v>
      </c>
      <c r="B55" s="5" t="s">
        <v>148</v>
      </c>
      <c r="C55" s="8">
        <f>C50*C47</f>
        <v>0</v>
      </c>
      <c r="D55" s="5" t="s">
        <v>35</v>
      </c>
      <c r="E55" s="19" t="s">
        <v>149</v>
      </c>
      <c r="F55" s="5" t="s">
        <v>150</v>
      </c>
    </row>
    <row r="56" ht="17.25" customHeight="1">
      <c r="A56" s="5"/>
    </row>
    <row r="57" ht="17.25" customHeight="1">
      <c r="A57" s="5" t="s">
        <v>151</v>
      </c>
      <c r="B57" s="5" t="s">
        <v>15</v>
      </c>
      <c r="C57" s="8" t="str">
        <f>C55&gt;C53</f>
        <v>#DIV/0!</v>
      </c>
      <c r="D57" s="5" t="s">
        <v>15</v>
      </c>
      <c r="E57" s="19" t="s">
        <v>152</v>
      </c>
      <c r="F57" s="5" t="s">
        <v>153</v>
      </c>
    </row>
    <row r="58" ht="17.25" customHeight="1">
      <c r="A58" s="5" t="s">
        <v>154</v>
      </c>
      <c r="B58" s="5" t="s">
        <v>15</v>
      </c>
      <c r="C58" s="8" t="str">
        <f>C55&gt;C54</f>
        <v>#DIV/0!</v>
      </c>
      <c r="D58" s="5" t="s">
        <v>15</v>
      </c>
      <c r="E58" s="19" t="s">
        <v>155</v>
      </c>
      <c r="F58" s="5" t="s">
        <v>156</v>
      </c>
    </row>
    <row r="59" ht="17.25" customHeight="1"/>
    <row r="60" ht="17.25" customHeight="1"/>
    <row r="61" ht="17.25" customHeight="1">
      <c r="A61" s="6" t="s">
        <v>201</v>
      </c>
    </row>
    <row r="62" ht="17.25" customHeight="1">
      <c r="A62" s="5" t="s">
        <v>228</v>
      </c>
    </row>
    <row r="63" ht="17.25" customHeight="1">
      <c r="A63" s="5" t="s">
        <v>229</v>
      </c>
    </row>
    <row r="64" ht="17.25" customHeight="1"/>
    <row r="65" ht="17.25" customHeight="1">
      <c r="A65" s="5" t="s">
        <v>202</v>
      </c>
    </row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</sheetData>
  <drawing r:id="rId4"/>
  <legacyDrawing r:id="rId5"/>
</worksheet>
</file>